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8" customWidth="1" min="1" max="1"/>
    <col width="45" customWidth="1" min="2" max="2"/>
    <col width="30" customWidth="1" min="3" max="3"/>
    <col width="30" customWidth="1" min="4" max="4"/>
    <col width="30" customWidth="1" min="5" max="5"/>
    <col width="30" customWidth="1" min="6" max="6"/>
    <col width="30" customWidth="1" min="7" max="7"/>
    <col width="15" customWidth="1" min="8" max="8"/>
    <col width="60" customWidth="1" min="9" max="9"/>
    <col width="40" customWidth="1" min="10" max="10"/>
  </cols>
  <sheetData>
    <row r="1">
      <c r="A1" s="1" t="inlineStr">
        <is>
          <t>題號</t>
        </is>
      </c>
      <c r="B1" s="1" t="inlineStr">
        <is>
          <t>題目內容</t>
        </is>
      </c>
      <c r="C1" s="1" t="inlineStr">
        <is>
          <t>選項A</t>
        </is>
      </c>
      <c r="D1" s="1" t="inlineStr">
        <is>
          <t>選項B</t>
        </is>
      </c>
      <c r="E1" s="1" t="inlineStr">
        <is>
          <t>選項C</t>
        </is>
      </c>
      <c r="F1" s="1" t="inlineStr">
        <is>
          <t>選項D</t>
        </is>
      </c>
      <c r="G1" s="1" t="inlineStr">
        <is>
          <t>選項E</t>
        </is>
      </c>
      <c r="H1" s="1" t="inlineStr">
        <is>
          <t>正確答案</t>
        </is>
      </c>
      <c r="I1" s="1" t="inlineStr">
        <is>
          <t>針對各選項之詳解</t>
        </is>
      </c>
      <c r="J1" s="1" t="inlineStr">
        <is>
          <t>出處</t>
        </is>
      </c>
    </row>
    <row r="2" ht="36" customHeight="1">
      <c r="A2" s="2" t="n">
        <v>1</v>
      </c>
      <c r="B2" s="3" t="inlineStr">
        <is>
          <t>關於周邊感覺神經纖維的分類與特徵，下列敘述何者正確？</t>
        </is>
      </c>
      <c r="C2" s="3" t="inlineStr">
        <is>
          <t>Aβ 纖維（Type II）的直徑約為 6-12 μm，主要供應 Skin mechanoreceptors (皮膚機械感受器) 與 Secondary muscle spindles (次級肌梭)</t>
        </is>
      </c>
      <c r="D2" s="3" t="inlineStr">
        <is>
          <t>Type Ia 感覺神經纖維的傳導速率略小於 Type Ib 感覺神經纖維</t>
        </is>
      </c>
      <c r="E2" s="3" t="inlineStr">
        <is>
          <t>Aδ 纖維屬於無髓鞘神經纖維，負責傳導持續時間較長的慢性痛</t>
        </is>
      </c>
      <c r="F2" s="3" t="inlineStr">
        <is>
          <t>Aα 纖維主要對應到 Type III 感覺神經纖維</t>
        </is>
      </c>
      <c r="G2" s="3" t="inlineStr">
        <is>
          <t>C 纖維（Type IV）的傳導速度最快，可達 80-120 m/s</t>
        </is>
      </c>
      <c r="H2" s="2" t="inlineStr">
        <is>
          <t>A</t>
        </is>
      </c>
      <c r="I2" s="3" t="inlineStr">
        <is>
          <t>選項A正確：根據講義表格，Aβ 纖維（Type II）直徑為 6-12 μm，傳導速度為 35-75 m/s，主要供應次級肌梭與皮膚機械感受器。
選項B錯誤：Type Ia 感覺神經纖維的傳導速率略大於 Type Ib 感覺神經纖維。
選項C錯誤：Aδ 纖維是有髓鞘的神經纖維，負責傳導短暫劇烈的初道痛 (First pain)。
選項D錯誤：Aα 纖維主要對應到 Type I（包含 Ia 及 Ib）感覺神經纖維，而 Aδ 纖維才對應到 Type III。
選項E錯誤：C 纖維是無髓鞘且最細的神經纖維，傳導速度最慢（約 0.5-2 m/s）。</t>
        </is>
      </c>
      <c r="J2" s="3">
        <f>== 體感覺系統[吳慶祥老師]_1142神解_百十二共筆.pdf 第 2 頁 ===</f>
        <v/>
      </c>
    </row>
    <row r="3" ht="36" customHeight="1">
      <c r="A3" s="2" t="n">
        <v>2</v>
      </c>
      <c r="B3" s="3" t="inlineStr">
        <is>
          <t>在周邊神經纖維分類中，關於運動型纖維 (Motor Fiber Type) 的敘述，下列何者正確？</t>
        </is>
      </c>
      <c r="C3" s="3" t="inlineStr">
        <is>
          <t>Aγ 纖維主要負責支配骨骼肌的 Extrafusal skeletal muscle fibers (外紡錘肌纖維)</t>
        </is>
      </c>
      <c r="D3" s="3" t="inlineStr">
        <is>
          <t>B 纖維屬於 Postganglionic autonomic fibers (自主神經節後纖維)</t>
        </is>
      </c>
      <c r="E3" s="3" t="inlineStr">
        <is>
          <t>Aγ 纖維與 B 纖維為運動型特有的纖維，不會出現在 Somatosensory (體感覺) 的傳導路徑中</t>
        </is>
      </c>
      <c r="F3" s="3" t="inlineStr">
        <is>
          <t>Aα 運動神經纖維負責支配 Intrafusal muscle fibers (內紡錘肌纖維)</t>
        </is>
      </c>
      <c r="G3" s="3" t="inlineStr">
        <is>
          <t>運動型纖維中的 C 纖維屬於有髓鞘神經纖維</t>
        </is>
      </c>
      <c r="H3" s="2" t="inlineStr">
        <is>
          <t>C</t>
        </is>
      </c>
      <c r="I3" s="3" t="inlineStr">
        <is>
          <t>選項A錯誤：Aγ 纖維負責支配內紡錘肌纖維 (Intrafusal muscle fibers)，負責支配外紡錘肌纖維的是 Aα 運動神經纖維。
選項B錯誤：B 纖維屬於自主神經節前纖維 (Preganglionic autonomic fibers)，自主神經節後纖維屬於 C 纖維。
選項C正確：講義明確指出，Aγ 與 B 纖維為運動型特有的纖維，因此不會出現在體感覺這個章節或路徑中。
選項D錯誤：Aα 運動神經纖維負責支配的是外紡錘肌纖維。
選項E錯誤：運動型纖維中的 C 纖維與感覺型 C 纖維一樣，皆屬於無髓鞘神經纖維。</t>
        </is>
      </c>
      <c r="J3" s="3">
        <f>== 體感覺系統[吳慶祥老師]_1142神解_百十二共筆.pdf 第 2 頁 ===</f>
        <v/>
      </c>
    </row>
    <row r="4" ht="36" customHeight="1">
      <c r="A4" s="2" t="n">
        <v>3</v>
      </c>
      <c r="B4" s="3" t="inlineStr">
        <is>
          <t>關於大腦接收痛覺訊號時產生的 First pain (初道痛) 與 Second pain (次道痛)，下列敘述何者正確？</t>
        </is>
      </c>
      <c r="C4" s="3" t="inlineStr">
        <is>
          <t>初道痛主要由無髓鞘的 C 纖維負責傳導</t>
        </is>
      </c>
      <c r="D4" s="3" t="inlineStr">
        <is>
          <t>次道痛佔整體痛覺傳遞時間的 30%</t>
        </is>
      </c>
      <c r="E4" s="3" t="inlineStr">
        <is>
          <t>初道痛的特徵是持續時間較長且帶有灼熱感</t>
        </is>
      </c>
      <c r="F4" s="3" t="inlineStr">
        <is>
          <t>次道痛主要由有髓鞘、傳導速度較快的 Aδ 纖維負責傳導</t>
        </is>
      </c>
      <c r="G4" s="3" t="inlineStr">
        <is>
          <t>當 Aδ 纖維傳導受阻時，患者將只感受到持續時間較長的 Second pain (次道痛)</t>
        </is>
      </c>
      <c r="H4" s="2" t="inlineStr">
        <is>
          <t>E</t>
        </is>
      </c>
      <c r="I4" s="3" t="inlineStr">
        <is>
          <t>選項A錯誤：初道痛主要由有髓鞘的 Aδ 纖維負責傳導。
選項B錯誤：次道痛佔痛覺傳遞時間的 70%，初道痛才佔 30%。
選項C錯誤：初道痛的特徵是短暫且劇烈；次道痛才是持續時間較長且具擴散性的痛感。
選項D錯誤：次道痛主要由無髓鞘、傳導速度較慢的 C 纖維負責傳導。
選項E正確：根據講義附圖，當 Aδ 纖維被阻斷時，只會剩下 C 纖維傳導的次道痛 (Second pain)。</t>
        </is>
      </c>
      <c r="J4" s="3">
        <f>== 體感覺系統[吳慶祥老師]_1142神解_百十二共筆.pdf 第 2 頁 ===</f>
        <v/>
      </c>
    </row>
    <row r="5" ht="54" customHeight="1">
      <c r="A5" s="2" t="n">
        <v>4</v>
      </c>
      <c r="B5" s="3" t="inlineStr">
        <is>
          <t>當皮膚受損破皮引發 Axonal Reflex (軸突反射) 時，下列哪一項敘述符合其活化機轉？</t>
        </is>
      </c>
      <c r="C5" s="3" t="inlineStr">
        <is>
          <t>此反射需要經過脊髓內的中間神經元進行突觸轉接</t>
        </is>
      </c>
      <c r="D5" s="3" t="inlineStr">
        <is>
          <t>感覺神經元的旁枝末端受刺激後會釋放 CGRP (降鈣素基因相關肽) 與 Substance P (物質P)</t>
        </is>
      </c>
      <c r="E5" s="3" t="inlineStr">
        <is>
          <t>此反射需要多個不同感覺神經元的共同參與才能完成</t>
        </is>
      </c>
      <c r="F5" s="3" t="inlineStr">
        <is>
          <t>釋放的 Histamine (組織胺) 會直接作用於血管，是造成皮膚發紅的主要因子</t>
        </is>
      </c>
      <c r="G5" s="3" t="inlineStr">
        <is>
          <t>上皮細胞受損釋放的 5-HT 與鉀離子會直接刺激局部 Mast cell (肥大細胞)</t>
        </is>
      </c>
      <c r="H5" s="2" t="inlineStr">
        <is>
          <t>B</t>
        </is>
      </c>
      <c r="I5" s="3" t="inlineStr">
        <is>
          <t>選項A錯誤：軸突反射沒有突觸參與其中，僅牽涉一個感覺神經元，反應極快，不通過脊髓轉接。
選項B正確：感覺神經元的旁枝 (collateral branch) 末端受刺激後會釋放 CGRP 及 Substance P，進而刺激血管擴張與肥大細胞釋放組織胺。
選項C錯誤：軸突反射僅牽涉一個感覺神經元的參與，反應極快。
選項D錯誤：CGRP 及 Substance P 主要負責刺激血管擴張（造成紅、腫、熱、痛）；而其刺激肥大細胞釋放的 Histamine 則是負責造成癢的感覺。
選項E錯誤：上皮細胞受損釋放的刺激物質（如緩激肽、5-HT等）是作用於感覺神經元末梢，而非直接刺激肥大細胞。</t>
        </is>
      </c>
      <c r="J5" s="3">
        <f>== 體感覺系統[吳慶祥老師]_1142神解_百十二共筆.pdf 第 2-3 頁 ===</f>
        <v/>
      </c>
    </row>
    <row r="6" ht="36" customHeight="1">
      <c r="A6" s="2" t="n">
        <v>5</v>
      </c>
      <c r="B6" s="3" t="inlineStr">
        <is>
          <t>關於 Spinothalamic Tract (脊髓丘腦徑) 的神經元路徑與結構，下列敘述何者正確？</t>
        </is>
      </c>
      <c r="C6" s="3" t="inlineStr">
        <is>
          <t>第二級神經元（Tract cells）位於 Lamina IV, V, VI (Nucleus proprius; 固有核)</t>
        </is>
      </c>
      <c r="D6" s="3" t="inlineStr">
        <is>
          <t>第一級感覺神經元主要位於脊髓的 Lamina II (Substantia gelatinosa; 膠狀質) 中</t>
        </is>
      </c>
      <c r="E6" s="3" t="inlineStr">
        <is>
          <t>Tract cells 的軸突會經由背側白質聯合跨越至對側</t>
        </is>
      </c>
      <c r="F6" s="3" t="inlineStr">
        <is>
          <t>負責傳導此徑的神經纖維主要為中、大型的有髓鞘感覺神經纖維</t>
        </is>
      </c>
      <c r="G6" s="3" t="inlineStr">
        <is>
          <t>軸突跨越至對側後，會進入 Dorsal column (後索) 向上傳遞</t>
        </is>
      </c>
      <c r="H6" s="2" t="inlineStr">
        <is>
          <t>A</t>
        </is>
      </c>
      <c r="I6" s="3" t="inlineStr">
        <is>
          <t>選項A正確：根據講義說明，第二級神經元為 Tract cells，位於 Lamina IV, V, VI (Nucleus proprius)。
選項B錯誤：第一級感覺神經元細胞體位於 Dorsal root ganglion (背根神經節)，其軸突是傳入脊髓的 Lamina II，而非細胞體位於 Lamina II。
選項C錯誤：Tract cells 的軸突是從 Ventral white commissure (腹側白質聯合) 跨至對側。
選項D錯誤：傳導此徑的第一級神經元為小型、傳導速率較慢的 C 纖維或 Aδ 纖維；中、大型神經纖維負責傳導 Medial lemniscus system (內側丘系系統)。
選項E錯誤：跨越至對側後，會進入 Anterolateral system (前外側系統) 向上傳遞。</t>
        </is>
      </c>
      <c r="J6" s="3">
        <f>== 體感覺系統[吳慶祥老師]_1142神解_百十二共筆.pdf 第 3 頁 ===</f>
        <v/>
      </c>
    </row>
    <row r="7" ht="36" customHeight="1">
      <c r="A7" s="2" t="n">
        <v>6</v>
      </c>
      <c r="B7" s="3" t="inlineStr">
        <is>
          <t>Anterolateral System (前外側系統) 的變異路徑會傳入不同的丘腦核區，關於這些核區與大腦皮層的投射關係，下列敘述何者正確？</t>
        </is>
      </c>
      <c r="C7" s="3" t="inlineStr">
        <is>
          <t>Posterior nucleus (後核) 主要傳遞到 Primary sensory cortex (SI; 初級感覺皮質)，負責感受痛覺的程度與位置</t>
        </is>
      </c>
      <c r="D7" s="3" t="inlineStr">
        <is>
          <t>Mediodorsal nucleus (內側背核) 主要傳遞到 Second somatosensory area (SII; 次級體感覺皮質)，負責疼痛引起的注意力</t>
        </is>
      </c>
      <c r="E7" s="3" t="inlineStr">
        <is>
          <t>VPL nucleus (腹後外側核) 主要與古脊髓丘腦徑連接，引發疼痛引起的內臟與情緒反應</t>
        </is>
      </c>
      <c r="F7" s="3" t="inlineStr">
        <is>
          <t>內臟感覺與輕觸覺主要是透過 Mediodorsal nucleus 傳遞到 Insula (島葉)</t>
        </is>
      </c>
      <c r="G7" s="3" t="inlineStr">
        <is>
          <t>Intralaminar nucleus (板內核) 主要傳遞到大腦額葉、頂葉及紋狀體，與維持 conscious &amp; alert state (警覺狀態) 有關</t>
        </is>
      </c>
      <c r="H7" s="2" t="inlineStr">
        <is>
          <t>E</t>
        </is>
      </c>
      <c r="I7" s="3" t="inlineStr">
        <is>
          <t>選項A錯誤：Posterior nucleus 主要傳遞到大腦的島葉 (Insula) 及次級體感覺皮質 (SII)；初級體感覺皮質 (SI) 接收的是 Neospinothalamic tract 經由 VPL 轉接的訊號。
選項B錯誤：Mediodorsal nucleus 傳遞到額葉的內側與眶面，與情感、做決定及遠見有關；負責疼痛引起的注意力 (Pain attention) 的是次級體感覺皮質 (SII)。
選項C錯誤：VPL nucleus 是典型的 Neospinothalamic tract (新脊髓丘腦徑) 的轉接核，負責精準的痛覺定位。
選項D錯誤：輕觸覺與內臟感覺主要是透過 Posterior nucleus 傳遞到島葉與 SII。
選項E正確：講義明確指出 Intralaminar nucleus 傳遞到大腦額葉、頂葉及紋狀體 (Striatum)，與維持警覺狀態有關。</t>
        </is>
      </c>
      <c r="J7" s="3">
        <f>== 體感覺系統[吳慶祥老師]_1142神解_百十二共筆.pdf 第 5 頁 ===</f>
        <v/>
      </c>
    </row>
    <row r="8" ht="36" customHeight="1">
      <c r="A8" s="2" t="n">
        <v>7</v>
      </c>
      <c r="B8" s="3" t="inlineStr">
        <is>
          <t>關於 Neospinothalamic tract (新脊髓丘腦徑) 與 Paleospinothalamic tract (舊脊髓丘腦徑) 的比較，下列敘述何者正確？</t>
        </is>
      </c>
      <c r="C8" s="3" t="inlineStr">
        <is>
          <t>新脊髓丘腦徑的神經纖維起源於脊髓灰質的 Lamina VII, VIII, X</t>
        </is>
      </c>
      <c r="D8" s="3" t="inlineStr">
        <is>
          <t>舊脊髓丘腦徑在高等靈長類表現較明顯，負責精確定位痛覺</t>
        </is>
      </c>
      <c r="E8" s="3" t="inlineStr">
        <is>
          <t>新脊髓丘腦徑的側枝會傳遞到 Reticular formation (腦幹網狀系統)，負責內臟反射與覺醒</t>
        </is>
      </c>
      <c r="F8" s="3" t="inlineStr">
        <is>
          <t>舊脊髓丘腦徑的神經纖維會傳遞到丘腦的 Posterior nucleus (後核) 及 Intralaminar nucleus (板內核)</t>
        </is>
      </c>
      <c r="G8" s="3" t="inlineStr">
        <is>
          <t>新脊髓丘腦徑所傳遞的訊息多引發 Involuntary motor responses (非隨意性的運動反應)</t>
        </is>
      </c>
      <c r="H8" s="2" t="inlineStr">
        <is>
          <t>D</t>
        </is>
      </c>
      <c r="I8" s="3" t="inlineStr">
        <is>
          <t>選項A錯誤：新脊髓丘腦徑的神經纖維是由脊髓背側的 Lamina IV, V, VI 傳出；舊脊髓丘腦徑才起源於 Lamina VII, VIII, X。
選項B錯誤：新脊髓丘腦徑在高等靈長類 (primates) 表現較明顯；舊脊髓丘腦徑在低等動物表現較明顯。
選項C錯誤：新脊髓丘腦徑的側枝會傳遞到 Periaqueductal gray matter (PAG; 導水管周圍灰質)；舊脊髓丘腦徑的側枝才會傳遞到腦幹網狀系統。
選項D正確：講義明確指出，舊脊髓丘腦徑的神經纖維靠近腹角 (ventral horn)，傳遞到丘腦的 Posterior nucleus 及 Intralaminar nucleus。
選項E錯誤：舊脊髓丘腦徑參與非隨意性的運動反應（例如蚯蚓受刺激扭動）；新脊髓丘腦徑則能讓高等動物偵測痛覺大小與位置並做出適當反應。</t>
        </is>
      </c>
      <c r="J8" s="3">
        <f>== 體感覺系統[吳慶祥老師]_1142神解_百十二共筆.pdf 第 5 頁 ===</f>
        <v/>
      </c>
    </row>
    <row r="9" ht="36" customHeight="1">
      <c r="A9" s="2" t="n">
        <v>8</v>
      </c>
      <c r="B9" s="3" t="inlineStr">
        <is>
          <t>關於 Archispinothalamic tract (古脊髓丘腦徑) 的特點，下列敘述何者正確？</t>
        </is>
      </c>
      <c r="C9" s="3" t="inlineStr">
        <is>
          <t>其主要由粗大且快速傳導的 Aα 纖維所組成</t>
        </is>
      </c>
      <c r="D9" s="3" t="inlineStr">
        <is>
          <t>該路徑結構極為簡單，僅由兩級神經元直接串聯組成</t>
        </is>
      </c>
      <c r="E9" s="3" t="inlineStr">
        <is>
          <t>主要負責傳遞 Fine touch (精細觸覺) 與 Vibratory sensation (震動覺)</t>
        </is>
      </c>
      <c r="F9" s="3" t="inlineStr">
        <is>
          <t>與疼痛所造成的 Visceral (內臟)、Autonomic (自主神經) 及 Emotional (情緒) 反應密切相關</t>
        </is>
      </c>
      <c r="G9" s="3" t="inlineStr">
        <is>
          <t>其上行速度極快，能引發身體自然產生的天然止痛機制</t>
        </is>
      </c>
      <c r="H9" s="2" t="inlineStr">
        <is>
          <t>D</t>
        </is>
      </c>
      <c r="I9" s="3" t="inlineStr">
        <is>
          <t>選項A錯誤：古脊髓丘腦徑主要對應 C 纖維，屬於細小且慢速傳導的無髓鞘纖維。
選項B錯誤：從講義說明與附圖可知，古脊髓丘腦徑的傳遞經過非常多級神經元，結構複雜，傳遞速度慢。
選項C錯誤：古脊髓丘腦徑屬於前外側系統的原始部分，負責痛覺引發的內臟情緒後續反應，而非精細觸覺。
選項D正確：講義指出古脊髓丘腦徑與疼痛造成的內臟 (visceral)、自主神經 (autonomic)、情緒 (emotional) 反應有關。
選項E錯誤：由於經過非常多個神經元，其傳遞速度很慢；負責內源性止痛機制（如忍痛放下熱水壺）的是新脊髓丘腦徑投射至 PAG 的側枝。</t>
        </is>
      </c>
      <c r="J9" s="3">
        <f>== 體感覺系統[吳慶祥老師]_1142神解_百十二共筆.pdf 第 5 頁 ===</f>
        <v/>
      </c>
    </row>
    <row r="10" ht="36" customHeight="1">
      <c r="A10" s="2" t="n">
        <v>9</v>
      </c>
      <c r="B10" s="3" t="inlineStr">
        <is>
          <t>臨床上常見心臟問題引發胸口及左手臂體表疼痛的 Referred pain (轉移痛)，其神經解剖學的主要機制為何？</t>
        </is>
      </c>
      <c r="C10" s="3" t="inlineStr">
        <is>
          <t>皮膚感覺神經元和內臟感覺神經元傳入脊髓後，匯聚到同一個 Tract cell (束細胞) 上再向上傳遞</t>
        </is>
      </c>
      <c r="D10" s="3" t="inlineStr">
        <is>
          <t>心臟的體神經與手臂的內臟神經在背根神經節內直接形成化學突觸</t>
        </is>
      </c>
      <c r="E10" s="3" t="inlineStr">
        <is>
          <t>內臟的痛覺訊號誤入 Gracile fasciculus (薄束) 導致大腦皮質判定錯誤</t>
        </is>
      </c>
      <c r="F10" s="3" t="inlineStr">
        <is>
          <t>大腦 Primary sensory cortex (SI; 初級感覺皮質) 缺乏專門接收內臟痛覺的投射區域</t>
        </is>
      </c>
      <c r="G10" s="3" t="inlineStr">
        <is>
          <t>內臟受損時釋放的化學刺激物經由血液循環擴慢至手臂皮膚末梢</t>
        </is>
      </c>
      <c r="H10" s="2" t="inlineStr">
        <is>
          <t>A</t>
        </is>
      </c>
      <c r="I10" s="3" t="inlineStr">
        <is>
          <t>選項A正確：講義指出，轉移痛是因為皮膚感覺神經元和內臟感覺神經元傳入同一個 tract cell（第二級神經元）再向上傳遞，造成大腦分辨不出疼痛的正確位置。
選項B錯誤：背根神經節 (DRG) 內的神經元為假單極神經元，在此處並不會互相形成突觸轉接。
選項C錯誤：內臟痛覺主要走前外側系統 (ALS) 或後索的突觸後路徑，而非直接由薄束單獨傳導。
選項D錯誤：大腦仍有許多皮質區如次級體感覺皮質 (SII)、島葉、扣帶迴等能接受並解釋內臟痛覺，主因在於脊髓層次的訊號匯聚混淆。
選項E錯誤：轉移痛是神經傳導路徑中中樞 Tract cell 的匯聚所致，而非體液循環擴散化學物質。</t>
        </is>
      </c>
      <c r="J10" s="3">
        <f>== 體感覺系統[吳慶祥老師]_1142神解_百十二共筆.pdf 第 5 頁 ===</f>
        <v/>
      </c>
    </row>
    <row r="11" ht="54" customHeight="1">
      <c r="A11" s="2" t="n">
        <v>10</v>
      </c>
      <c r="B11" s="3" t="inlineStr">
        <is>
          <t>當患者因中大腦動脈阻塞導致中風，在感覺與運動神經功能逐漸恢復的過程中，身體各部位的恢復順序通常為何？</t>
        </is>
      </c>
      <c r="C11" s="3" t="inlineStr">
        <is>
          <t>四肢最先恢復，再來是頸部與軀幹，臉及嘴巴最後恢復</t>
        </is>
      </c>
      <c r="D11" s="3" t="inlineStr">
        <is>
          <t>頸部與軀幹最先恢復，再來是四肢，臉及嘴巴最後恢復</t>
        </is>
      </c>
      <c r="E11" s="3" t="inlineStr">
        <is>
          <t>臉及嘴巴最先恢復，再來是頸部及軀幹，最後是四肢</t>
        </is>
      </c>
      <c r="F11" s="3" t="inlineStr">
        <is>
          <t>身體各部位會同時且對稱地恢復，沒有先後之分</t>
        </is>
      </c>
      <c r="G11" s="3" t="inlineStr">
        <is>
          <t>上肢與下肢會最先恢復，臉部因大腦皮質受損嚴重而完全無法恢復</t>
        </is>
      </c>
      <c r="H11" s="2" t="inlineStr">
        <is>
          <t>C</t>
        </is>
      </c>
      <c r="I11" s="3" t="inlineStr">
        <is>
          <t>選項A、B、D、E均錯誤：根據講義所述，中大腦動脈 (MCA) 阻塞恢復時，臉及嘴巴最先，再來是頸部及軀幹，最後是四肢。
選項C正確：因為大腦初級感覺皮質 (SI) 負責臉和嘴巴的範圍特別寬廣寬大，比較不易全部壞死，因而在逐漸恢復時最先表現。</t>
        </is>
      </c>
      <c r="J11" s="3">
        <f>== 體感覺系統[吳慶祥老師]_1142神解_百十二共筆.pdf 第 5-6 頁 ===</f>
        <v/>
      </c>
    </row>
    <row r="12" ht="36" customHeight="1">
      <c r="A12" s="2" t="n">
        <v>11</v>
      </c>
      <c r="B12" s="3" t="inlineStr">
        <is>
          <t>當受損的體感覺功能漸漸恢復時，各種感覺型態恢復的先後順序，下列何者正確？</t>
        </is>
      </c>
      <c r="C12" s="3" t="inlineStr">
        <is>
          <t>本體感覺最先恢復，痛覺最後恢復</t>
        </is>
      </c>
      <c r="D12" s="3" t="inlineStr">
        <is>
          <t>痛覺最先恢復，然後是粗略觸覺、溫覺、精細觸覺、震動覺，最不易恢復的是本體感覺</t>
        </is>
      </c>
      <c r="E12" s="3" t="inlineStr">
        <is>
          <t>精細觸覺與震動覺最先恢復，痛覺與溫覺最後恢復</t>
        </is>
      </c>
      <c r="F12" s="3" t="inlineStr">
        <is>
          <t>溫覺最先恢復，痛覺與本體感覺同時在最後恢復</t>
        </is>
      </c>
      <c r="G12" s="3" t="inlineStr">
        <is>
          <t>所有的感覺型態重建難易度相同，會同時完全恢復</t>
        </is>
      </c>
      <c r="H12" s="2" t="inlineStr">
        <is>
          <t>B</t>
        </is>
      </c>
      <c r="I12" s="3" t="inlineStr">
        <is>
          <t>選項A錯誤：本體感覺神經粗大，重建最困難，因此最後恢復；痛覺最先恢復。
選項B正確：講義明確記載，受損感覺漸漸恢復時，痛覺最先恢復，然後是粗略觸覺 (non-discriminative tactile)、溫覺 (thermal)、精細觸覺 (discriminative touch)、震動覺 (vibratory)，最不易恢復的是本體感覺 (proprioceptive sensation)。
選項C錯誤：精細觸覺與震動覺恢復較晚，痛覺與粗略觸覺才是最先恢復的。
選項D、E錯誤：痛覺神經細小且無髓鞘，較容易重建，故最先恢復；本體感覺重建最慢，順序完全不同。</t>
        </is>
      </c>
      <c r="J12" s="3">
        <f>== 體感覺系統[吳慶祥老師]_1142神解_百十二共筆.pdf 第 6 頁 ===</f>
        <v/>
      </c>
    </row>
    <row r="13" ht="36" customHeight="1">
      <c r="A13" s="2" t="n">
        <v>12</v>
      </c>
      <c r="B13" s="3" t="inlineStr">
        <is>
          <t>痛覺訊息傳入大腦後會啟動不同的功能區域。關於痛覺的三個維度 (Dimensions of Pain) 的敘述，下列何者正確？</t>
        </is>
      </c>
      <c r="C13" s="3" t="inlineStr">
        <is>
          <t>Sensory-discriminative (感覺與分辨) 維度——負責引發因痛覺產生的焦慮與不愉快情緒</t>
        </is>
      </c>
      <c r="D13" s="3" t="inlineStr">
        <is>
          <t>Affective-motivational (情感與動機) 維度——負責評估痛覺的程度、精確位置與持續時間</t>
        </is>
      </c>
      <c r="E13" s="3" t="inlineStr">
        <is>
          <t>Cognitive-evaluative (認知與價值觀) 維度——引發因痛覺引起的認知改變，例如評估、文化價值、催眠暗示等等</t>
        </is>
      </c>
      <c r="F13" s="3" t="inlineStr">
        <is>
          <t>Sensory-discriminative (感覺與分辨) 維度——主要由大腦前額葉眶面與扣帶迴負責解釋</t>
        </is>
      </c>
      <c r="G13" s="3" t="inlineStr">
        <is>
          <t>三個維度皆由初級感覺皮質 (SI) 單獨完成，不涉及其他皮質區</t>
        </is>
      </c>
      <c r="H13" s="2" t="inlineStr">
        <is>
          <t>C</t>
        </is>
      </c>
      <c r="I13" s="3" t="inlineStr">
        <is>
          <t>選項A錯誤：負責引發不愉快情緒與焦慮的是情感與動機 (Affective-motivational) 維度。
選項B錯誤：負責分辨痛覺程度、持續時間與精確定位的是感覺與分辨 (Sensory-discriminative) 維度。
選項C正確：講義指出，認知與價值觀 (Cognitive-evaluative) 維度與痛覺引起的認知改變有關，例如臨床評估、文化價值觀影響或催眠暗示等。
選項D錯誤：感覺與分辨維度主要由初級感覺皮質 (SI) 負責負責；前額葉與扣帶迴多參與情感或認知維度。
選項E錯誤：大腦許多皮質區（如 SII、島葉、前額葉等）發亮處都可以接收痛覺訊息，形成複雜網絡，非 SI 單獨完成。</t>
        </is>
      </c>
      <c r="J13" s="3">
        <f>== 體感覺系統[吳慶祥老師]_1142神解_百十二共筆.pdf 第 6 頁 ===</f>
        <v/>
      </c>
    </row>
    <row r="14" ht="36" customHeight="1">
      <c r="A14" s="2" t="n">
        <v>13</v>
      </c>
      <c r="B14" s="3" t="inlineStr">
        <is>
          <t>大腦具備內源性的 Descending pain control (下行止痛控制) 系統，下列哪一個核區「不屬於」此系統的核心參與構造？</t>
        </is>
      </c>
      <c r="C14" s="3" t="inlineStr">
        <is>
          <t>Periaqueductal gray matter (PAG; 導水管周圍灰質)</t>
        </is>
      </c>
      <c r="D14" s="3" t="inlineStr">
        <is>
          <t>Raphe nuclei (縫合核)</t>
        </is>
      </c>
      <c r="E14" s="3" t="inlineStr">
        <is>
          <t>Locus coeruleus (藍斑核)</t>
        </is>
      </c>
      <c r="F14" s="3" t="inlineStr">
        <is>
          <t>Medullary reticular formation (延髓網狀系統)</t>
        </is>
      </c>
      <c r="G14" s="3" t="inlineStr">
        <is>
          <t>Trigeminal Mesencephalic Nucleus (三叉神經中腦核)</t>
        </is>
      </c>
      <c r="H14" s="2" t="inlineStr">
        <is>
          <t>E</t>
        </is>
      </c>
      <c r="I14" s="3" t="inlineStr">
        <is>
          <t>選項A、B、C、D均錯誤：講義中明確列出與 Descending pain control 有關的結構包括：橋腦網狀系統、導水管周圍灰質 (PAG)、縫合核 (Raphe nuclei)、延髓網狀系統、藍斑核 (Locus coeruleus)。
選項E正確：三叉神經中腦核主要負責頭部肌肉、咀嚼肌及牙周韌帶的本體感覺 (Proprioception) 輸入與反射動作傳遞，與下行止痛控制系統無關。</t>
        </is>
      </c>
      <c r="J14" s="3">
        <f>== 體感覺系統[吳慶祥老師]_1142神解_百十二共筆.pdf 第 6 頁 ===</f>
        <v/>
      </c>
    </row>
    <row r="15" ht="36" customHeight="1">
      <c r="A15" s="2" t="n">
        <v>14</v>
      </c>
      <c r="B15" s="3" t="inlineStr">
        <is>
          <t>關於 Descending pain control (下行止痛控制) 系統在脊髓背角 (Dorsal horn) 抑制痛覺訊號的具體機轉，下列敘述何者正確？</t>
        </is>
      </c>
      <c r="C15" s="3" t="inlineStr">
        <is>
          <t>主要透過增加第二級神經元釋放 Substance P 來達到止痛效果</t>
        </is>
      </c>
      <c r="D15" s="3" t="inlineStr">
        <is>
          <t>透過抑制血管擴張，減少局部 Bradykinin (緩激肽) 的產生來達成中樞止痛</t>
        </is>
      </c>
      <c r="E15" s="3" t="inlineStr">
        <is>
          <t>在傳到 Tract cell 之前，直接在 Lamina IX 抑制初級傳入神經纖維</t>
        </is>
      </c>
      <c r="F15" s="3" t="inlineStr">
        <is>
          <t>透過 Lamina II, III 的 Interneuron (中間神經元) 抑制 Tract cell (第二級神經元) 的傳遞</t>
        </is>
      </c>
      <c r="G15" s="3" t="inlineStr">
        <is>
          <t>逆向活化無髓鞘的 C 纖維，使痛覺訊號在脊髓內部發生碰撞而抵消</t>
        </is>
      </c>
      <c r="H15" s="2" t="inlineStr">
        <is>
          <t>D</t>
        </is>
      </c>
      <c r="I15" s="3" t="inlineStr">
        <is>
          <t>選項A錯誤：止痛機制應減少或阻斷 Substance P 等致痛物質的傳遞與釋放。
選項B錯誤：此處討論的是中樞神經系統內下行控制核區的突觸抑制機制，與周邊組織血管的緩激肽無直接關係。
選項C錯誤：是在 Lamina I 直接抑制初級傳入神經纖維，而非位於脊髓腹角 (ventral horn) 負責運動控制的 Lamina IX。
選項D正確：講義特別強調脊髓內兩種主要的抑制方法：（1）透過 Lamina II, III 的 interneuron 抑制 tract cell（第二級神經元）的傳遞；（2）在傳到 tract cell 之前，先直接在 Lamina I 抑制初級傳入神經纖維。
選項E錯誤：中樞止痛主要是藉由神經傳導物質（如鴉片類、血清素、正腎上腺素）引發突觸前或突觸後抑制，而非 C 纖維的物理性碰撞。</t>
        </is>
      </c>
      <c r="J15" s="3">
        <f>== 體感覺系統[吳慶祥老師]_1142神解_百十二共筆.pdf 第 6 頁 ===</f>
        <v/>
      </c>
    </row>
    <row r="16" ht="36" customHeight="1">
      <c r="A16" s="2" t="n">
        <v>15</v>
      </c>
      <c r="B16" s="3" t="inlineStr">
        <is>
          <t>關於臨床上或物理刺激的止痛機制，下列敘述何者正確？</t>
        </is>
      </c>
      <c r="C16" s="3" t="inlineStr">
        <is>
          <t>針灸 (Acupuncture) 是透過慢性電刺激脊髓的 Dorsal column (後索)，逆向活化管徑粗、有髓鞘的神經纖維以抑制痛覺</t>
        </is>
      </c>
      <c r="D16" s="3" t="inlineStr">
        <is>
          <t>Morphin (嗎啡) 採取 Epidural administration (硬脊膜外注射) 時，主要刺激下視丘周邊的止痛核區</t>
        </is>
      </c>
      <c r="E16" s="3" t="inlineStr">
        <is>
          <t>Gate Control Theory (閘門控制學說) 指出，刺激細小的無髓鞘 C 纖維可以有效關閉脊髓的痛覺閘門</t>
        </is>
      </c>
      <c r="F16" s="3" t="inlineStr">
        <is>
          <t>嗎啡的 Systemic administration (系統性給藥) 是直接將藥物注射至脊髓的腦脊髓液中</t>
        </is>
      </c>
      <c r="G16" s="3" t="inlineStr">
        <is>
          <t>直接電刺激腦幹網狀系統會大量減少 Enkephalin (腦啡肽) 的分泌，從而達到麻醉止痛</t>
        </is>
      </c>
      <c r="H16" s="2" t="inlineStr">
        <is>
          <t>A</t>
        </is>
      </c>
      <c r="I16" s="3" t="inlineStr">
        <is>
          <t>選項A正確：講義指出，慢性刺激脊髓的 dorsal column 是逆向刺激（反向活化）管徑大、有髓鞘的神經纖維，利用閘門控制學說（刺激觸、壓覺等本體感覺抑制痛覺），其臨床實例即為針灸。
選項B錯誤：嗎啡採取硬脊膜外注射 (epidural) 是將藥物注射到脊髓的腦脊髓液中達到局部麻醉止痛作用；系統性給藥才是刺激中樞 periventricular 及 periaqueductal 相關神經元。
選項C錯誤：閘門控制學說是透過刺激管徑大、有髓鞘的非痛覺機械感受纖維（如 Aβ）來抑制痛覺，而非刺激傳導痛覺的 C 纖維。
選項D錯誤：系統性給藥是指口服或靜脈注射等全身性給藥途徑。
選項E錯誤：電刺激中樞止痛核區會促使它們分泌「更多」而非減少腦啡肽 (enkephalin)，從而參與疼痛抑制。</t>
        </is>
      </c>
      <c r="J16" s="3">
        <f>== 體感覺系統[吳慶祥老師]_1142神解_百十二共筆.pdf 第 6 頁 ===</f>
        <v/>
      </c>
    </row>
    <row r="17" ht="36" customHeight="1">
      <c r="A17" s="2" t="n">
        <v>16</v>
      </c>
      <c r="B17" s="3" t="inlineStr">
        <is>
          <t>下肢的 Conscious proprioception (有意識本體感覺) 上行路徑與上肢不同。關於下肢該路徑的神經元與第一個轉接核，下列敘述何者正確？</t>
        </is>
      </c>
      <c r="C17" s="3" t="inlineStr">
        <is>
          <t>第一級神經元的軸突進入脊髓後，會直接在 Gracile nucleus (薄束核) 進行第一次轉接</t>
        </is>
      </c>
      <c r="D17" s="3" t="inlineStr">
        <is>
          <t>從第一個轉接核發出的纖維會經由 Ventral white commissure (腹側白質聯合) 跨越至對側</t>
        </is>
      </c>
      <c r="E17" s="3" t="inlineStr">
        <is>
          <t>該路徑的第二個轉接核為位於薄束核正下方的 Nucleus Z</t>
        </is>
      </c>
      <c r="F17" s="3" t="inlineStr">
        <is>
          <t>下肢有意識本體感覺路徑總共僅涉及三組神經元即可抵達大腦皮質</t>
        </is>
      </c>
      <c r="G17" s="3" t="inlineStr">
        <is>
          <t>該路徑的第一個轉接核為位於 C8~L3 脊髓灰質背角內側的 Nucleus dorsalis (克拉克柱; Clarke’s column)</t>
        </is>
      </c>
      <c r="H17" s="2" t="inlineStr">
        <is>
          <t>E</t>
        </is>
      </c>
      <c r="I17" s="3" t="inlineStr">
        <is>
          <t>選項A錯誤：下肢第一級神經元在進入脊髓後，在 Nucleus dorsalis 進行第一次轉接，而非直接至延髓的薄束核轉接。
選項B錯誤：從 Nucleus dorsalis 發出的纖維會進入「同側」外側索的背側束 (Dorsolateral funiculus) 上行，直到延髓轉接後才跨越對側。
選項C錯誤：Nucleus Z 是第二個轉接核，但它位於薄束核 (Gracile nucleus) 的「外上方」而非正下方。
選項D錯誤：下肢有意識本體感覺路徑需要經過 4 組神經元（比上肢的 3 組神經元多了一組中繼站）。
選項E正確：第一個轉接核為 Nucleus dorsalis（又稱 Nucleus thoracicus 或 Clarke’s column），位於 C8~L3 的 Dorsal horn 內側。</t>
        </is>
      </c>
      <c r="J17" s="3">
        <f>== 體感覺系統[吳慶祥老師]_1142神解_百十二共筆.pdf 第 9 頁 ===</f>
        <v/>
      </c>
    </row>
    <row r="18" ht="54" customHeight="1">
      <c r="A18" s="2" t="n">
        <v>17</v>
      </c>
      <c r="B18" s="3" t="inlineStr">
        <is>
          <t>根據吳慶祥老師課堂強調的神經解剖學核心觀念（考試以此為準），關於上下肢本體感覺傳導途徑的敘述，下列何者正確？</t>
        </is>
      </c>
      <c r="C18" s="3" t="inlineStr">
        <is>
          <t>胸節以上的 Gracile fasciculus (薄束) 仍會繼續傳遞下肢的本體感覺</t>
        </is>
      </c>
      <c r="D18" s="3" t="inlineStr">
        <is>
          <t>Gracile nucleus (薄束核) 負責處理下肢的精細觸覺、震動覺以及本體感覺</t>
        </is>
      </c>
      <c r="E18" s="3" t="inlineStr">
        <is>
          <t>上肢的本體感覺傳導途徑由四組神經元組成，而下肢僅由三組神經元組成</t>
        </is>
      </c>
      <c r="F18" s="3" t="inlineStr">
        <is>
          <t>Dorsal spinocerebellar tract (DSCT; 脊髓後小腦背側徑) 可同時傳達有意識和無意識的本體感受</t>
        </is>
      </c>
      <c r="G18" s="3" t="inlineStr">
        <is>
          <t>Ventral spinocerebellar tract (脊髓後小腦腹側徑) 主要負責傳遞有意識的本體感覺</t>
        </is>
      </c>
      <c r="H18" s="2" t="inlineStr">
        <is>
          <t>D</t>
        </is>
      </c>
      <c r="I18" s="3" t="inlineStr">
        <is>
          <t>選項A錯誤：重要觀念 A 指出，胸節以上的 Gracile fasciculus 不會傳遞本體感覺（The gracile fasciculus above the thoracic segmental level do not conduct impulses concerned with proprioception）。
選項B錯誤：重要觀念 B 強調，Gracile nucleus 僅傳遞下肢精細觸覺、震動覺，不負責本體覺（The gracile nucleus is not concerned with proprioception）。
選項C錯誤：重要觀念 C 指出，下肢到皮層的本體感受途徑涉及四組神經元，而上肢僅由三組組成。
選項D正確：重要觀念 D 明確指出，DSCT 可傳達有意識和無意識的本體感受（The dorsal spinocerebellar tract conveys both conscious and unconscious proprioceptions），此徑包含下肢唯一一條有意識本體感覺。
選項E錯誤：脊髓後小腦腹側徑 (Ventral) 只傳遞非意識（無意識）本體感覺。</t>
        </is>
      </c>
      <c r="J18" s="3">
        <f>== 體感覺系統[吳慶祥老師]_1142神解_百十二共筆.pdf 第 9-10 頁 ===</f>
        <v/>
      </c>
    </row>
    <row r="19" ht="36" customHeight="1">
      <c r="A19" s="2" t="n">
        <v>18</v>
      </c>
      <c r="B19" s="3" t="inlineStr">
        <is>
          <t>關於內側丘系系統的替代上行路徑——Postsynaptic dorsal column system (PSDC; 突觸後後索系統)，下列敘述何者正確？</t>
        </is>
      </c>
      <c r="C19" s="3" t="inlineStr">
        <is>
          <t>此系統不需要與 Tract cell 進行轉接，與傳統 MLS 完全相同</t>
        </is>
      </c>
      <c r="D19" s="3" t="inlineStr">
        <is>
          <t>其 Tract cells 位於脊髓灰質的 Laminae III, IV, X，負責傳遞精細觸覺、震動覺及內臟痛覺</t>
        </is>
      </c>
      <c r="E19" s="3" t="inlineStr">
        <is>
          <t>第一級神經元的軸突進入脊髓後直接由脊髓前索 (Ventral funiculus) 向上行</t>
        </is>
      </c>
      <c r="F19" s="3" t="inlineStr">
        <is>
          <t>其負責傳遞的感覺型態主要為溫覺與短暫劇烈的初道痛</t>
        </is>
      </c>
      <c r="G19" s="3" t="inlineStr">
        <is>
          <t>PSDC 路徑中所包含的神經元數量比傳統的內側丘系路徑 (MLS) 還要少一級</t>
        </is>
      </c>
      <c r="H19" s="2" t="inlineStr">
        <is>
          <t>B</t>
        </is>
      </c>
      <c r="I19" s="3" t="inlineStr">
        <is>
          <t>選項A錯誤：PSDC 特徵是與 Tract cell 做轉接，而不是直接走 Dorsal column 向上，因此與傳統 MLS 有所不同。
選項B正確：講義明確指出其 Tract cells（又稱 Spinomedullary neurons）位於 Laminae III, IV, X，傳遞精細觸覺 (Fine touch)、震動覺 (Cutaneous mechanical) 及內臟痛覺 (Noxious visceral)。
選項C錯誤：其路徑是經由後索與後外側索 (Dorsal and dorsolateral funiculi) 上行，最後進入後索核區轉接。
選項D錯誤：其負責傳遞的是精細觸覺、震動覺與內臟痛覺，溫覺與初道痛走前外側系統 (ALS)。
選項E錯誤：PSDC 比傳統的 MLS 多了 Tract cells 這一級，其下肢傳導途徑中涉及更多級神經元。</t>
        </is>
      </c>
      <c r="J19" s="3">
        <f>== 體感覺系統[吳慶祥老師]_1142神解_百十二共筆.pdf 第 11 頁 ===</f>
        <v/>
      </c>
    </row>
    <row r="20" ht="36" customHeight="1">
      <c r="A20" s="2" t="n">
        <v>19</v>
      </c>
      <c r="B20" s="3" t="inlineStr">
        <is>
          <t>關於 Spinocervicalthalamic pathway (SCT; 脊髓頸神經丘腦徑) 的解剖構造與特徵，下列敘述何者正確？</t>
        </is>
      </c>
      <c r="C20" s="3" t="inlineStr">
        <is>
          <t>該路徑主要負責傳遞內臟的本體感覺，不傳遞皮膚痛覺</t>
        </is>
      </c>
      <c r="D20" s="3" t="inlineStr">
        <is>
          <t>第一級感覺神經元傳入後，會直接經由前索 (Ventral column) 向上投射</t>
        </is>
      </c>
      <c r="E20" s="3" t="inlineStr">
        <is>
          <t>其特有的轉接核為 Lateral cervical nucleus (頸外側核)，位於 C1~C2 的 Dorsal horn 外側白質內</t>
        </is>
      </c>
      <c r="F20" s="3" t="inlineStr">
        <is>
          <t>其與傳統內側丘系路徑 (MLS) 的最大相同點在於兩者皆不具備 Tract cells 結構</t>
        </is>
      </c>
      <c r="G20" s="3" t="inlineStr">
        <is>
          <t>經由頸外側核轉接後，神經纖維會直接進入同側的脊髓丘腦徑上行</t>
        </is>
      </c>
      <c r="H20" s="2" t="inlineStr">
        <is>
          <t>C</t>
        </is>
      </c>
      <c r="I20" s="3" t="inlineStr">
        <is>
          <t>選項A錯誤：SCT 負責傳遞所有類型的皮膚感覺 (Cutaneous sensation)，包含痛覺。
選項B錯誤：其 Tract cell 是由後外側索 (Dorsolateral funiculus) 向上傳遞，而非前索。
選項C正確：講義指出，SCT 的獨特轉接核為 Lateral cervical nucleus，位於白質內，具體在 C1~C2 的 Dorsal horn 外側，Lower medulla 下方與頸節交界處。
選項D錯誤：SCT 與 MLS 的差別在於 SCT 具有 Tract cells，且經由後外側索上行。
選項E錯誤：在頸外側核轉接後，神經纖維會到達「對側」的內側丘系 (Medial lemniscus) 上行。</t>
        </is>
      </c>
      <c r="J20" s="3">
        <f>== 體感覺系統[吳慶祥老師]_1142神解_百十二共筆.pdf 第 11 頁 ===</f>
        <v/>
      </c>
    </row>
    <row r="21" ht="54" customHeight="1">
      <c r="A21" s="2" t="n">
        <v>20</v>
      </c>
      <c r="B21" s="3" t="inlineStr">
        <is>
          <t>關於頭部與面部體感覺 (Sensory Pathways for Head) 的神經支配來源，下列敘述何者正確？</t>
        </is>
      </c>
      <c r="C21" s="3" t="inlineStr">
        <is>
          <t>整個頭部（包含後腦杓與面部）的所有體感覺皆由三叉神經 (CN V) 獨家負責</t>
        </is>
      </c>
      <c r="D21" s="3" t="inlineStr">
        <is>
          <t>顏面神經 (CN VII) 負責大部分面部皮膚的精細觸覺與痛覺傳導</t>
        </is>
      </c>
      <c r="E21" s="3" t="inlineStr">
        <is>
          <t>舌咽神經 (CN IX) 與迷走神經 (CN X) 僅負責頭部的運動支配，不參與任何感覺傳導</t>
        </is>
      </c>
      <c r="F21" s="3" t="inlineStr">
        <is>
          <t>頭部後面（如後腦杓、耳後位置）的感覺是由 C2 到 C3 脊神經傳遞，屬於脊髓感覺系統</t>
        </is>
      </c>
      <c r="G21" s="3" t="inlineStr">
        <is>
          <t>外耳道與黏膜的體感覺完全由三叉神經的第一支 (V1) 負責</t>
        </is>
      </c>
      <c r="H21" s="2" t="inlineStr">
        <is>
          <t>D</t>
        </is>
      </c>
      <c r="I21" s="3" t="inlineStr">
        <is>
          <t>選項A錯誤：頭部後面由 C2-C3 脊神經負責，某些腦部小區域也由其他腦神經負責。
選項B錯誤：三叉神經 (CN V) 負責面部大部分的皮膚感覺，顏面神經主要支配面部表情肌運動與味覺。
選項C錯誤：CN VII、IX、X 皆有負責腦部的小區域、外耳道與黏膜感覺。
選項D正確：講義明確指出，頭的後面（後腦杓、耳後等位置）的感覺由 C2 到 C3 脊神經傳遞，屬於前面介紹過的 ALS 和 MLS 系統。
選項E錯誤：外耳道與黏膜感覺是由 CN VII、IX、X 負責負責，而非全部由三叉神經 V1 負責。</t>
        </is>
      </c>
      <c r="J21" s="3">
        <f>== 體感覺系統[吳慶祥老師]_1142神解_百十二共筆.pdf 第 11-12 頁 ===</f>
        <v/>
      </c>
    </row>
    <row r="22" ht="54" customHeight="1">
      <c r="A22" s="2" t="n">
        <v>21</v>
      </c>
      <c r="B22" s="3" t="inlineStr">
        <is>
          <t>三叉神經中腦核 (Trigeminal Mesencephalic Nucleus) 在神經解剖學上具有極為特殊的地位，下列關於該核區的敘述何者正確？</t>
        </is>
      </c>
      <c r="C22" s="3" t="inlineStr">
        <is>
          <t>該核區的神經元屬於多極神經元，主要負責面部痛覺轉接</t>
        </is>
      </c>
      <c r="D22" s="3" t="inlineStr">
        <is>
          <t>其主要接收來自面部皮膚的精細觸覺，並投射至次級體感覺皮質</t>
        </is>
      </c>
      <c r="E22" s="3" t="inlineStr">
        <is>
          <t>該核區屬於周邊神經系統 (PNS) 的背根神經節在腦幹的延伸，不屬於中樞神經系統</t>
        </is>
      </c>
      <c r="F22" s="3" t="inlineStr">
        <is>
          <t>主要接收顳顎關節與下顎肌肉的溫覺輸入，藉此調控下顎反射</t>
        </is>
      </c>
      <c r="G22" s="3" t="inlineStr">
        <is>
          <t>這些神經元的細胞核（細胞體）位於中樞神經系統 (CNS) 內部，在發育與結構上屬於 Pseudounipolar neurons (假單極神經元)</t>
        </is>
      </c>
      <c r="H22" s="2" t="inlineStr">
        <is>
          <t>E</t>
        </is>
      </c>
      <c r="I22" s="3" t="inlineStr">
        <is>
          <t>選項A錯誤：該核區神經元負責本體感覺而非痛覺，在結構上是假單極神經元。
選項B錯誤：其主要接收本體感覺（如咀嚼肌、TMJ 及牙周韌帶），參與反射動作與軟硬感知。
選項C錯誤：其細胞核明確位於 CNS（中腦）內部，雖然功能與周邊的 DRG 相似。
選項D錯誤：其接收的是本體感覺輸入（下顎肌肉、TMJ 及牙周韌帶），而非溫度覺。
選項E正確：根據講義說明，三叉神經中腦核的細胞核（細胞體）位於 CNS 內部（屬於 CNS），且發育上屬於 Pseudounipolar（假單極），是 CNS 內部極特殊的特例。</t>
        </is>
      </c>
      <c r="J22" s="3">
        <f>== 體感覺系統[吳慶祥老師]_1142神解_百十二共筆.pdf 第 12、19 頁 ===</f>
        <v/>
      </c>
    </row>
    <row r="23" ht="54" customHeight="1">
      <c r="A23" s="2" t="n">
        <v>22</v>
      </c>
      <c r="B23" s="3" t="inlineStr">
        <is>
          <t>三叉神經脊髓核 (Spinal Trigeminal Nucleus) 可進一步細分為三個部分，關於這三個分區的解剖位置與負責功能，下列敘述何者正確？</t>
        </is>
      </c>
      <c r="C23" s="3" t="inlineStr">
        <is>
          <t>Pars oralis (口端側) 主要由第二級感覺神經元組成，負責將溫覺訊號傳遞至丘腦</t>
        </is>
      </c>
      <c r="D23" s="3" t="inlineStr">
        <is>
          <t>Pars interpolaris (內插側) 位於 Obex 以下，主要負責轉接面部的痛覺和溫度覺</t>
        </is>
      </c>
      <c r="E23" s="3" t="inlineStr">
        <is>
          <t>Pars caudalis (尾端側) 位於腦橋尾端，主要負責接收面部的精密觸覺</t>
        </is>
      </c>
      <c r="F23" s="3" t="inlineStr">
        <is>
          <t>Pars caudalis (尾端側) 位於 Obex 以下到 C2~3 以上，主要負責面部痛覺和溫度的感覺轉接</t>
        </is>
      </c>
      <c r="G23" s="3" t="inlineStr">
        <is>
          <t>三個分區皆不接收來自 CN VII、IX、X 的周邊感覺輸入</t>
        </is>
      </c>
      <c r="H23" s="2" t="inlineStr">
        <is>
          <t>D</t>
        </is>
      </c>
      <c r="I23" s="3" t="inlineStr">
        <is>
          <t>選項A錯誤：口端側主要是第一級感覺神經的神經核所在（而非轉接的第二級神經元），主要負責本體感覺、下顎反射 (jaw jerk reflex) 的傳遞。
選項B錯誤：內插側位於 rostral end of the hypoglossal nucleus 以下到 obex 的部分，主要負責接收精密觸覺。
選項C錯誤：負責面部精密觸覺的是內插側；尾端側負責痛覺和溫覺轉接。
選項D正確：講義明確指出，Pars caudalis 位於 Obex 以下到 C2~3 以上，主要負責痛覺和溫度的感覺轉接。
選項E錯誤：講義第 19 頁特別指出，在主感覺核沒有 CN VII、IX、X 的控制，但在脊髓核 (spinal trigeminal nucleus) 內部就有其控制傳入。</t>
        </is>
      </c>
      <c r="J23" s="3">
        <f>== 體感覺系統[吳慶祥老師]_1142神解_百十二共筆.pdf 第 12、19 頁 ===</f>
        <v/>
      </c>
    </row>
    <row r="24" ht="36" customHeight="1">
      <c r="A24" s="2" t="n">
        <v>23</v>
      </c>
      <c r="B24" s="3" t="inlineStr">
        <is>
          <t>三叉神經感覺核在接收周邊感覺時具有特殊的排列模式，關於 Inverted somatotopic pattern (倒置體感模式) 與 Onion-skin pattern (洋蔥皮模式)，下列敘述何者正確？</t>
        </is>
      </c>
      <c r="C24" s="3" t="inlineStr">
        <is>
          <t>倒置體感模式中，CN V1 分支進入中樞的位置會位在最背側 (Dorsal)</t>
        </is>
      </c>
      <c r="D24" s="3" t="inlineStr">
        <is>
          <t>洋蔥皮模式出現在主感覺核中，越往尾端支配的區域越靠近嘴巴</t>
        </is>
      </c>
      <c r="E24" s="3" t="inlineStr">
        <is>
          <t>倒置體感模式指的是周邊由上到下的支配位置（V1到V3），進入中樞核區時其相對位置會發生上下相反的現象（V1變最腹側/前側）</t>
        </is>
      </c>
      <c r="F24" s="3" t="inlineStr">
        <is>
          <t>CN VII、IX、X 的感覺纖維在中樞內會伴隨 CN V1 一起排列在最腹側 (Ventral)</t>
        </is>
      </c>
      <c r="G24" s="3" t="inlineStr">
        <is>
          <t>洋蔥皮模式中，越往吻端 (Rostral) 的核區支配越靠近外側耳朵與後腦杓的皮膚</t>
        </is>
      </c>
      <c r="H24" s="2" t="inlineStr">
        <is>
          <t>C</t>
        </is>
      </c>
      <c r="I24" s="3" t="inlineStr">
        <is>
          <t>選項A錯誤：在倒置體感模式中，CN V1 在最前側或腹側 (anterior / ventral)，有偏下方的感覺。
選項B錯誤：洋蔥皮模式是出現在三叉神經脊髓核的尾端側 (pars caudalis part) 中，而非主要（主）感覺核。
選項C正確：講義指出，CN V1、V2、V3 及 VII、IX、X 支配周邊的位置由上到下，但進中樞的位置會相反（V1在最 anterior/ventral，而 V3、VII、IX、X 則在 posterior/dorsal）。
選項D錯誤：CN V3、VII、IX、X 進入中樞時位於後側或背側 (posterior / dorsal)，有上方的感覺。
選項E錯誤：在洋蔥皮模式中，越吻端 (rostral) 的核支配越靠近嘴巴的感覺，兩者是一致的。</t>
        </is>
      </c>
      <c r="J24" s="3">
        <f>== 體感覺系統[吳慶祥老師]_1142神解_百十二共筆.pdf 第 19 頁 ===</f>
        <v/>
      </c>
    </row>
    <row r="25" ht="54" customHeight="1">
      <c r="A25" s="2" t="n">
        <v>24</v>
      </c>
      <c r="B25" s="3" t="inlineStr">
        <is>
          <t>在運動系統 (Motor System) 中，關於上、下運動神經元與腦幹脊髓路徑的空間分佈與功能，下列敘述何者正確？</t>
        </is>
      </c>
      <c r="C25" s="3" t="inlineStr">
        <is>
          <t>脊髓前角運動神經元 (Anterior horn motor neurons) 被稱為 Upper motor neurons (上運動神經元)</t>
        </is>
      </c>
      <c r="D25" s="3" t="inlineStr">
        <is>
          <t>Anterior horn motor neurons (前角運動神經元) 是支配骨骼肌的 Final common path (最後共同途徑)</t>
        </is>
      </c>
      <c r="E25" s="3" t="inlineStr">
        <is>
          <t>Rubrospinal tract (紅核脊髓徑) 與外側皮質脊髓徑主要負責支配軸索與近端肌肉</t>
        </is>
      </c>
      <c r="F25" s="3" t="inlineStr">
        <is>
          <t>Medial reticulospinal tract (內側網狀脊髓徑) 與內側縱束在脊髓主要負責支配遠端肢體肌肉</t>
        </is>
      </c>
      <c r="G25" s="3" t="inlineStr">
        <is>
          <t>Lateral vestibulospinal tract (前庭脊髓外側徑) 在頸部脊髓主要負責促進肢體屈肌的收縮</t>
        </is>
      </c>
      <c r="H25" s="2" t="inlineStr">
        <is>
          <t>B</t>
        </is>
      </c>
      <c r="I25" s="3" t="inlineStr">
        <is>
          <t>選項A錯誤：脊髓前角運動神經元屬於下運動神經元 (Lower motor neurons)；大腦皮質與腦幹的神經元才是上運動神經元。
選項B正確：根據講義第 3 頁圖表，脊髓前角運動神經元直接支配骨骼肌，接收中樞與周邊整合訊號，被稱為最後共同途徑 (Final common path)。
選項C錯誤：外側皮質脊髓徑與紅核脊髓徑主要負責支配遠端肢體肌肉 (Distal musculature) 與屈肌。
選項D錯誤：網狀脊髓徑、前庭脊髓徑等主要負責支配中軸 (Axial) 與近端肢體肌肉 (Proximal musculature) 以維持姿勢與平衡。
選項E錯誤：前庭脊髓外側徑主要促進伸肌 (Extensors) 的收縮以維持身體姿勢。</t>
        </is>
      </c>
      <c r="J25" s="3">
        <f>== 1142 神經解剖學 Motor System (黃志善).pdf 第 3、4 頁 ===</f>
        <v/>
      </c>
    </row>
    <row r="26" ht="54" customHeight="1">
      <c r="A26" s="2" t="n">
        <v>25</v>
      </c>
      <c r="B26" s="3" t="inlineStr">
        <is>
          <t>關於大腦皮質高級運動區以及丘腦對運動系統的影響，下列敘述何者正確？</t>
        </is>
      </c>
      <c r="C26" s="3" t="inlineStr">
        <is>
          <t>Posterior Parietal Cortex (後頂葉皮質) 的 Area 5 主要負責接收大腦視覺皮質傳來的物體空間位置訊息</t>
        </is>
      </c>
      <c r="D26" s="3" t="inlineStr">
        <is>
          <t>Cingulate Motor Cortex (扣帶迴運動皮質) 主要參與帶有強烈動機或情感成分 (Motivational or emotional component) 的運動調控</t>
        </is>
      </c>
      <c r="E26" s="3" t="inlineStr">
        <is>
          <t>Cerebellum (小腦) 的運動訊息主要是經由丘腦的 Ventral Anterior (VA) 核區投射至次級運動皮質</t>
        </is>
      </c>
      <c r="F26" s="3" t="inlineStr">
        <is>
          <t>Posterior Parietal Cortex (後頂葉皮質) 的 Area 7 內部主要包含掌管手臂投影與手部操作的神經元</t>
        </is>
      </c>
      <c r="G26" s="3" t="inlineStr">
        <is>
          <t>Globus pallidus (蒼白球) 的運動輸出主要經由 Ventral Lateral (VL) 核區投射到 Primary motor cortex (M1; 初級運動皮質)</t>
        </is>
      </c>
      <c r="H26" s="2" t="inlineStr">
        <is>
          <t>B</t>
        </is>
      </c>
      <c r="I26" s="3" t="inlineStr">
        <is>
          <t>選項A錯誤：後頂葉皮質的 Area 5 主要接收來自體感覺皮質 (Somatosensory cortex) 與前庭系統的訊息；負責接收視覺訊息以進行物體定位與手眼協調的是 Area 7。
選項B正確：講義第 66 頁指出，扣帶迴運動皮質大約等於邊緣皮質 (Limbic cortex)，主要參與帶有強烈動機或情感成分的運動。
選項C錯誤：根據第 67 頁圖表，小腦的運動輸出主要是經由丘腦的 Ventral Lateral (VL) 及 VPLo 核區投射至初級運動皮質 (M1)。
選項D錯誤：包含手臂投影與手部操作神經元的是 Area 5；Area 7 主要包含手眼協調與物體位置的視覺訊息神經元。
選項E錯誤：蒼白球 (Globus pallidus) 的運動輸出主要經由 Ventral Anterior (VA) 核區投射至補充運動皮質 (Supplementary motor cortex; SMC)。</t>
        </is>
      </c>
      <c r="J26" s="3">
        <f>== 1142 神經解剖學 Motor System (黃志善).pdf 第 65、66、67 頁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2026-06-09T13:48:47Z</dcterms:created>
  <dcterms:modified xmlns:dcterms="http://purl.org/dc/terms/" xmlns:xsi="http://www.w3.org/2001/XMLSchema-instance" xsi:type="dcterms:W3CDTF">2026-06-09T13:48:47Z</dcterms:modified>
</cp:coreProperties>
</file>