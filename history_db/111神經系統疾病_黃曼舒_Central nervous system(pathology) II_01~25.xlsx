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8" customWidth="1" min="1" max="1"/>
    <col width="45" customWidth="1" min="2" max="2"/>
    <col width="30" customWidth="1" min="3" max="3"/>
    <col width="30" customWidth="1" min="4" max="4"/>
    <col width="30" customWidth="1" min="5" max="5"/>
    <col width="30" customWidth="1" min="6" max="6"/>
    <col width="30" customWidth="1" min="7" max="7"/>
    <col width="15" customWidth="1" min="8" max="8"/>
    <col width="60" customWidth="1" min="9" max="9"/>
    <col width="40" customWidth="1" min="10" max="10"/>
  </cols>
  <sheetData>
    <row r="1">
      <c r="A1" s="1" t="inlineStr">
        <is>
          <t>題號</t>
        </is>
      </c>
      <c r="B1" s="1" t="inlineStr">
        <is>
          <t>題目內容</t>
        </is>
      </c>
      <c r="C1" s="1" t="inlineStr">
        <is>
          <t>選項A</t>
        </is>
      </c>
      <c r="D1" s="1" t="inlineStr">
        <is>
          <t>選項B</t>
        </is>
      </c>
      <c r="E1" s="1" t="inlineStr">
        <is>
          <t>選項C</t>
        </is>
      </c>
      <c r="F1" s="1" t="inlineStr">
        <is>
          <t>選項D</t>
        </is>
      </c>
      <c r="G1" s="1" t="inlineStr">
        <is>
          <t>選項E</t>
        </is>
      </c>
      <c r="H1" s="1" t="inlineStr">
        <is>
          <t>正確答案</t>
        </is>
      </c>
      <c r="I1" s="1" t="inlineStr">
        <is>
          <t>針對各選項之詳解</t>
        </is>
      </c>
      <c r="J1" s="1" t="inlineStr">
        <is>
          <t>出處</t>
        </is>
      </c>
    </row>
    <row r="2" ht="72" customHeight="1">
      <c r="A2" s="2" t="n">
        <v>1</v>
      </c>
      <c r="B2" s="3" t="inlineStr">
        <is>
          <t>關於 Rabies virus (狂犬病毒) 感染中樞神經系統的病理與臨床特徵，下列敘述何者正確？</t>
        </is>
      </c>
      <c r="C2" s="3" t="inlineStr">
        <is>
          <t>病毒會在小腦的 Purkinje cells (浦金氏細胞) 或海馬迴的 Pyramidal neurons (錐體神經元) 內形成 Negri bodies (奈格里小體)。</t>
        </is>
      </c>
      <c r="D2" s="3" t="inlineStr">
        <is>
          <t>Negri bodies (奈格里小體) 是病毒的 DNA 嵌入宿主細胞核所造成的病變，且周圍常伴隨嚴重發炎反應。</t>
        </is>
      </c>
      <c r="E2" s="3" t="inlineStr">
        <is>
          <t>病毒在被咬傷後，會沿著神經採取順行性 (Anterograde) 的方式傳播感染至中樞神經系統。</t>
        </is>
      </c>
      <c r="F2" s="3" t="inlineStr">
        <is>
          <t>疾病的進程會先出現無力肢體麻痺 (Flaccid paralysis)，隨後才發生發燒與局部感覺異常。</t>
        </is>
      </c>
      <c r="G2" s="3" t="inlineStr">
        <is>
          <t>其潛伏期極短，無論咬傷部位位於何處，通常在 1 到 3 天內便會迅速發病並造成神經退化。</t>
        </is>
      </c>
      <c r="H2" s="2" t="inlineStr">
        <is>
          <t>A</t>
        </is>
      </c>
      <c r="I2" s="3" t="inlineStr">
        <is>
          <t>選項A正確：Rabies virus (狂犬病毒) 感染中樞神經系統後，其特徵性病理變化為在小腦的 Purkinje cells 或海馬迴的 Pyramidal neurons 中形成 Negri bodies，這些區域通常不會有明顯發炎反應。
選項B錯誤：Negri bodies 實際上是病毒廢棄的蛋白質外殼在細胞質 (Cytoplasm) 聚集形成的圓形或卵圓形嗜酸性顆粒，並非 DNA 嵌入細胞核。
選項C錯誤：病毒是沿著神經以逆行性 (Retrograde) 的方式向上感染中樞神經系統 (CNS)。
選項D錯誤：正確的疾病進程應為：發燒、局部感覺異常 → CNS異常興奮導致咽部肌肉攣縮 (恐水症) → 之後才出現無力肢體麻痺 (Flaccid paralysis) → Mania 和 Stupor 交替發作 → 呼吸衰竭。
選項E錯誤：Rabies (狂犬病) 具有潛伏期，通常為 1 到 3 個月，而非 1 到 3 天，且發病時間與被咬傷口距離 CNS 的遠近有直接關係，距離愈遠愈晚發病。</t>
        </is>
      </c>
      <c r="J2" s="3">
        <f>== 【numbered_0908_Central nervous system(pathology) II.pdf】第 2、3 頁 ===</f>
        <v/>
      </c>
    </row>
    <row r="3" ht="72" customHeight="1">
      <c r="A3" s="2" t="n">
        <v>2</v>
      </c>
      <c r="B3" s="3" t="inlineStr">
        <is>
          <t>Progressive multifocal leukoencephalopathy (進行性多灶性腦白質病, PML) 是一種嚴重的神經系統感染疾病，下列關於此疾病的敘述何者正確？</t>
        </is>
      </c>
      <c r="C3" s="3" t="inlineStr">
        <is>
          <t>此疾病主要發生於免疫功能健全的青少年，且通常伴隨極高的急性死亡率。</t>
        </is>
      </c>
      <c r="D3" s="3" t="inlineStr">
        <is>
          <t>由 JC polyomavirus (JC多瘤病毒) 引起，病毒主要感染 Oligodendrocytes (寡樹突細胞) 造成 Demyelination (去髓鞘化)。</t>
        </is>
      </c>
      <c r="E3" s="3" t="inlineStr">
        <is>
          <t>其病理特徵為大腦灰質 (Grey matter) 出現廣泛性的神經元萎縮與壞死。</t>
        </is>
      </c>
      <c r="F3" s="3" t="inlineStr">
        <is>
          <t>大多數患者在感染初期就會產生強烈的自體免疫反應，進而導致不可逆的脊髓損傷。</t>
        </is>
      </c>
      <c r="G3" s="3" t="inlineStr">
        <is>
          <t>顯微鏡下可觀察到大量充滿脂質的 Neutrophils (嗜中性白血球) 聚集於病灶處。</t>
        </is>
      </c>
      <c r="H3" s="2" t="inlineStr">
        <is>
          <t>B</t>
        </is>
      </c>
      <c r="I3" s="3" t="inlineStr">
        <is>
          <t>選項A錯誤：原發性感染在大多數人 (青少年期前) 身上是無症狀的，PML 主要發生於免疫抑制的患者 (如 AIDS 病患)，是因為病毒 Reactivation (活化) 引起的。
選項B正確：PML 是由 JC polyomavirus 引起，該病毒特別喜歡感染 Oligodendrocytes，導致神經髓鞘無法維持而發生 Demyelination (去髓鞘化)，細胞核會變得空空亮亮。
選項C錯誤：PML 的病變主要發生在大腦雙葉或小腦的白質 (White matter)，而非灰質。
選項D錯誤：PML 是因為免疫抑制 (Immunosuppression) 導致病毒活化，而非強烈的自體免疫反應；且病變主要在腦部白質，而非脊髓。
選項E錯誤：病理特徵包括定義不良的去髓鞘區域 (Poorly defined areas of demyelination)、軸突 (Axon) 減少，以及散布的 Lipid-laden macrophages (巨噬細胞)，而非 Neutrophils。</t>
        </is>
      </c>
      <c r="J3" s="3">
        <f>== 【numbered_0908_Central nervous system(pathology) II.pdf】第 3 頁 ===</f>
        <v/>
      </c>
    </row>
    <row r="4" ht="72" customHeight="1">
      <c r="A4" s="2" t="n">
        <v>3</v>
      </c>
      <c r="B4" s="3" t="inlineStr">
        <is>
          <t>關於 Fungal meningoencephalitis (真菌腦膜腦炎) 中的 Cryptococcal meningitis (隱球菌性腦膜炎)，下列敘述何者正確？</t>
        </is>
      </c>
      <c r="C4" s="3" t="inlineStr">
        <is>
          <t>其致病菌形態在顯微鏡下呈現細桿狀、一節節像竹子且具有銳角 Y 字型分支。</t>
        </is>
      </c>
      <c r="D4" s="3" t="inlineStr">
        <is>
          <t>此感染主要侵犯大腦皮質，引發嚴重的出血性壞死 (Hemorrhagic necrosis)。</t>
        </is>
      </c>
      <c r="E4" s="3" t="inlineStr">
        <is>
          <t>常見於 AIDS 患者等免疫抑制宿主，會感染 Basal leptomeninges (大腦基底軟腦膜) 進而阻塞 CSF 造成 Hydrocephalus (水腦症)。</t>
        </is>
      </c>
      <c r="F4" s="3" t="inlineStr">
        <is>
          <t>這是一種非伺機性感染，絕大多數情況下僅透過糞口途徑傳染。</t>
        </is>
      </c>
      <c r="G4" s="3" t="inlineStr">
        <is>
          <t>病程進展極為緩慢，通常需要經過數十年才會出現初期的神經學症狀。</t>
        </is>
      </c>
      <c r="H4" s="2" t="inlineStr">
        <is>
          <t>C</t>
        </is>
      </c>
      <c r="I4" s="3" t="inlineStr">
        <is>
          <t>選項A錯誤：呈現細桿狀、一節節像竹子且具有銳角 Y 字型的描述是指 Candida albicans (白色念珠菌)。Cryptococcus neoformans (新型隱球菌) 呈現圓形酵母菌形態。
選項B錯誤：Cryptococcal meningitis 主要感染大腦基底軟腦膜 (Basal leptomeninges)，並非直接侵犯大腦皮質引發出血性壞死 (這較符合 HSV 或 CMV 的特徵)。
選項C正確：隱球菌性腦膜炎是 AIDS 患者常見的伺機性感染，感染大腦基底軟腦膜後，會導致腦脊髓液 (CSF) 流出受阻，進而引發 Hydrocephalus (水腦症)。
選項D錯誤：真菌腦膜腦炎通常是一種伺機性感染 (Opportunistic infection)，且常經由血行性傳播 (Hematogenous) 進入中樞神經系統，並非糞口傳染。
選項E錯誤：在 AIDS 患者中，隱球菌性腦膜炎可能在短短兩週內發病且致命，並非需要數十年的潛伏期。</t>
        </is>
      </c>
      <c r="J4" s="3">
        <f>== 【numbered_0908_Central nervous system(pathology) II.pdf】第 4 頁 ===</f>
        <v/>
      </c>
    </row>
    <row r="5" ht="72" customHeight="1">
      <c r="A5" s="2" t="n">
        <v>4</v>
      </c>
      <c r="B5" s="3" t="inlineStr">
        <is>
          <t>Prion Disease (普利昂疾病) 是一類由錯誤折疊蛋白質引起的退化性疾病，關於 Creutzfeldt-Jakob Disease (CJD) 與 Variant CJD (變異型庫賈氏症) 的比較，何者正確？</t>
        </is>
      </c>
      <c r="C5" s="3" t="inlineStr">
        <is>
          <t>兩者的致病機制皆為 PrPsc (異常蛋白質) 被細胞內的蛋白酶快速分解而產生毒性代謝物。</t>
        </is>
      </c>
      <c r="D5" s="3" t="inlineStr">
        <is>
          <t>一般 CJD 好發於年輕人，而 Variant CJD 則多見於 70 歲左右的老年人。</t>
        </is>
      </c>
      <c r="E5" s="3" t="inlineStr">
        <is>
          <t>Variant CJD 發病一定伴隨著 PRNP 基因的強烈突變，而一般 CJD 則與基因突變毫無關聯。</t>
        </is>
      </c>
      <c r="F5" s="3" t="inlineStr">
        <is>
          <t>Variant CJD 多見於年輕人，與誤食含有 PrPsc 的食物 (如狂牛症牛肉) 相關，不伴隨 PRNP 基因異常。</t>
        </is>
      </c>
      <c r="G5" s="3" t="inlineStr">
        <is>
          <t>一般 CJD 的病程進展緩慢，患者在確診後通常可存活超過十年以上。</t>
        </is>
      </c>
      <c r="H5" s="2" t="inlineStr">
        <is>
          <t>D</t>
        </is>
      </c>
      <c r="I5" s="3" t="inlineStr">
        <is>
          <t>選項A錯誤：Prion Disease 的核心機制在於錯誤折疊的 PrPsc 結構為 abnormal β-pleated sheet，無法被蛋白酶分解 (Resistant to degradation)，因而在 CNS 中累積造成毒性，並非被快速分解。
選項B錯誤：剛好相反。一般 CJD 多發生於 70 歲左右的老年人；而 Variant CJD 則好發於年輕人。
選項C錯誤：Variant CJD 主要是由於誤食含有 PrPsc 的食物 (如含有狂牛症病原的牛肉) 或輸血所致，沒有 PRNP 基因異常；而一般的 CJD 雖然以散發型 (Sporadic) 為主，但部分家族性病例確實與 PRNP 基因突變有關。
選項D正確：Variant CJD 於 1995 年在英國流行，好發於年輕人，致病原因為攝入含有 PrPsc 的病牛食品，故患者的 PRNP 基因通常是正常的。
選項E錯誤：一般 CJD 的特徵為快速惡化的 Dementia (Rapidly Progressive Dementia)，診斷到死亡僅需短短數月 (約七個月)，進程極快。</t>
        </is>
      </c>
      <c r="J5" s="3">
        <f>== 【numbered_0908_Central nervous system(pathology) II.pdf】第 4、5 頁 ===</f>
        <v/>
      </c>
    </row>
    <row r="6" ht="72" customHeight="1">
      <c r="A6" s="2" t="n">
        <v>5</v>
      </c>
      <c r="B6" s="3" t="inlineStr">
        <is>
          <t>Multiple Sclerosis (多發性硬化症, MS) 為中樞神經系統最常見的去髓鞘疾病 (Demyelinating Disease)，關於其臨床與病理特徵，何者正確？</t>
        </is>
      </c>
      <c r="C6" s="3" t="inlineStr">
        <is>
          <t>此疾病在所有年齡層皆可見，且男性的發生率遠高於女性 (約 2:1)。</t>
        </is>
      </c>
      <c r="D6" s="3" t="inlineStr">
        <is>
          <t>其病理特徵為初期即產生廣泛的 Axon (軸突) 斷裂，而 Myelin (髓鞘) 則保持完整。</t>
        </is>
      </c>
      <c r="E6" s="3" t="inlineStr">
        <is>
          <t>疾病發作呈現持續進行性惡化，不會有復原期 (Remitting)。</t>
        </is>
      </c>
      <c r="F6" s="3" t="inlineStr">
        <is>
          <t>患者的大腦皮質 (Cerebral cortex) 表面會產生邊界模糊的柔軟斑塊。</t>
        </is>
      </c>
      <c r="G6" s="3" t="inlineStr">
        <is>
          <t>在腦脊髓液 (CSF) 檢查中，常可發現 Oligoclonal IgG bands 上升以及部分案例有中度的 Pleocytosis (細胞增多)。</t>
        </is>
      </c>
      <c r="H6" s="2" t="inlineStr">
        <is>
          <t>E</t>
        </is>
      </c>
      <c r="I6" s="3" t="inlineStr">
        <is>
          <t>選項A錯誤：Multiple Sclerosis 較少出現於兒童或 50 歲以後，且患者男女比約為 1：2，女性發生率高於男性。
選項B錯誤：多數的去髓鞘疾病 (包含 MS) 主要是免疫系統 (如 Th1, Th17) 攻擊 Myelin，初期使 Myelin 受傷，而軸突相對保留 (Relative Preservation of Axons)；後期才可能造成軸突受傷。
選項C錯誤：MS 的臨床特徵為在時間上不斷 Relapsing (復發) 和 Remitting (緩解)，具有可變的持續時間並會伴隨部分神經功能的逐漸恢復 (gradual, partial recovery)。
選項D錯誤：MS 的病理形態為在白質 (White matter) 中出現邊界清晰 (Well circumscribed) 的斑塊，且比周圍組織堅硬 (Sclerosis)，常出現在側腦室 (Lateral ventricles) 邊緣。
選項E正確：MS 患者的 CSF 變化為：IgG (oligoclonal IgG bands) 上升、蛋白質濃度小幅上升，且有 1/3 的案例會有中度的 Pleocytosis (細胞增多現象)。</t>
        </is>
      </c>
      <c r="J6" s="3">
        <f>== 【numbered_0908_Central nervous system(pathology) II.pdf】第 6 頁 ===</f>
        <v/>
      </c>
    </row>
    <row r="7" ht="72" customHeight="1">
      <c r="A7" s="2" t="n">
        <v>6</v>
      </c>
      <c r="B7" s="3" t="inlineStr">
        <is>
          <t>Neuromyelitis Optica (視神經脊髓炎, NMO) 在臨床症狀上常與多發性硬化症 (MS) 需要進行鑑別診斷，下列關於 NMO 的敘述何者正確？</t>
        </is>
      </c>
      <c r="C7" s="3" t="inlineStr">
        <is>
          <t>這是一種自體免疫疾病，患者血清中常可檢驗出抗 Aquaporin-4 (AQP-4) 的抗體，且疾病初期常造成雙側視神經受損。</t>
        </is>
      </c>
      <c r="D7" s="3" t="inlineStr">
        <is>
          <t>NMO 的自體免疫機制主要是由 T 細胞直接攻擊 Oligodendrocytes (寡樹突細胞) 所引起。</t>
        </is>
      </c>
      <c r="E7" s="3" t="inlineStr">
        <is>
          <t>與 MS 相比，NMO 患者的初次發病復原程度通常極佳，且幾乎不會復發。</t>
        </is>
      </c>
      <c r="F7" s="3" t="inlineStr">
        <is>
          <t>大約有 80% 的 NMO 患者會在腦脊髓液 (CSF) 中檢測出顯著的 Oligoclonal bands。</t>
        </is>
      </c>
      <c r="G7" s="3" t="inlineStr">
        <is>
          <t>其病灶主要且廣泛地分布於大腦皮質，較少影響脊髓與眼部。</t>
        </is>
      </c>
      <c r="H7" s="2" t="inlineStr">
        <is>
          <t>A</t>
        </is>
      </c>
      <c r="I7" s="3" t="inlineStr">
        <is>
          <t>選項A正確：NMO 為自體免疫疾病，患者具有抗 Aquaporin-4 (AQP-4) 抗體，初期會影響視神經，且特徵為雙側 (bilateral) 視覺受損。
選項B錯誤：NMO 的攻擊標的 (Target) 是 Astrocyte (星狀細胞) 上的 AQP-4，而非 Oligodendrocyte。MS 才是主要針對 Oligodendrocyte 和髓鞘。
選項C錯誤：NMO 第一次發病的復原程度很差，對視力和脊髓功能會造成嚴重影響。
選項D錯誤：Oligoclonal bands 在 MS 患者的 CSF 中高達 ~80% 出現，而在 NMO 患者中僅約 ~28% 會出現，比例遠低於 MS。
選項E錯誤：NMO 的病灶多只影響脊髓與眼部神經，不常見於腦部 (多為晚期才可能影響腦部)；相對地，MS 的初期病灶常出現在腦部白質。</t>
        </is>
      </c>
      <c r="J7" s="3">
        <f>== 【numbered_0908_Central nervous system(pathology) II.pdf】第 6、7 頁 ===</f>
        <v/>
      </c>
    </row>
    <row r="8" ht="72" customHeight="1">
      <c r="A8" s="2" t="n">
        <v>7</v>
      </c>
      <c r="B8" s="3" t="inlineStr">
        <is>
          <t>某急診患者因嚴重低血鈉 (Hyponatremia) 接受快速的靜脈輸液矯正，數天後突然發生四肢癱瘓，但意識依然清醒，僅剩眼睛能夠活動。該患者最可能罹患下列何種疾病？</t>
        </is>
      </c>
      <c r="C8" s="3" t="inlineStr">
        <is>
          <t>Subacute combined degeneration of spinal cord (脊髓亞急性合併退化症)</t>
        </is>
      </c>
      <c r="D8" s="3" t="inlineStr">
        <is>
          <t>Central Pontine Myelinolysis (中央橋腦髓鞘溶解症, CPM)</t>
        </is>
      </c>
      <c r="E8" s="3" t="inlineStr">
        <is>
          <t>Progressive multifocal leukoencephalopathy (進行性多灶性腦白質病, PML)</t>
        </is>
      </c>
      <c r="F8" s="3" t="inlineStr">
        <is>
          <t>Subacute sclerosing panencephalitis (亞急性硬化性全腦炎, SSPE)</t>
        </is>
      </c>
      <c r="G8" s="3" t="inlineStr">
        <is>
          <t>Amyotrophic Lateral Sclerosis (肌萎縮性脊髓側索硬化症, ALS)</t>
        </is>
      </c>
      <c r="H8" s="2" t="inlineStr">
        <is>
          <t>B</t>
        </is>
      </c>
      <c r="I8" s="3" t="inlineStr">
        <is>
          <t>選項A錯誤：Subacute combined degeneration of spinal cord 是由 Vitamin B12 缺乏引起，導致脊髓上行與下行神經束退化，產生感覺異常與無力，與血鈉矯正無關。
選項B正確：Central Pontine Myelinolysis (CPM) 是人為造成的去髓鞘疾病，主因為矯正病人的低血鈉或其他電解質失調過快，約在 2~6 天後發生橋腦基底部去髓鞘，導致嚴重且不可逆的四肢癱瘓 (Quadriplegia)，即 Locked-in syndrome (閉鎖症候群)。
選項C錯誤：PML 是由於免疫力低下患者的 JC polyomavirus 活化導致，主要感染寡樹突細胞造成多發性白質病變。
選項D錯誤：SSPE 是一種由麻疹病毒 (Measles virus) 在急性感染數月至數年後引起的進行性腦炎，表現為認知下降和痙攣。
選項E錯誤：ALS 是神經退化性疾病，影響上下運動神經元，病程為漸進性，並非由急性電解質矯正引起。</t>
        </is>
      </c>
      <c r="J8" s="3">
        <f>== 【numbered_0908_Central nervous system(pathology) II.pdf】第 6、7 頁 ===</f>
        <v/>
      </c>
    </row>
    <row r="9" ht="72" customHeight="1">
      <c r="A9" s="2" t="n">
        <v>8</v>
      </c>
      <c r="B9" s="3" t="inlineStr">
        <is>
          <t>Alzheimer Disease (阿茲海默症, AD) 是老年人最常見的失智症病因，關於其致病機轉與病理型態，下列敘述何者正確？</t>
        </is>
      </c>
      <c r="C9" s="3" t="inlineStr">
        <is>
          <t>Amyloid Plaques (澱粉樣斑塊) 主要由 Aβ40 胜肽在細胞內聚集沉積所形成。</t>
        </is>
      </c>
      <c r="D9" s="3" t="inlineStr">
        <is>
          <t>AD 患者在巨觀上常見大腦皮質增厚以及腦室縮小 (Hydrocephalus縮小)。</t>
        </is>
      </c>
      <c r="E9" s="3" t="inlineStr">
        <is>
          <t>Neurofibrillary Tangles (神經纖維纏結) 是由過度磷酸化 (Hyperphosphorylated) 的 tau 蛋白失去結合微管的能力後，於細胞內聚集而成。</t>
        </is>
      </c>
      <c r="F9" s="3" t="inlineStr">
        <is>
          <t>AD 中 Amyloid precursor protein (APP) 皆經由非澱粉樣變性途徑 (Non-amyloidogenic pathway) 裂解以形成致病的 Aβ。</t>
        </is>
      </c>
      <c r="G9" s="3" t="inlineStr">
        <is>
          <t>相比於 Neurofibrillary tangles，Plaques 的數量與失智嚴重程度的相關性更高，故預後觀測以 Plaques 數量為主。</t>
        </is>
      </c>
      <c r="H9" s="2" t="inlineStr">
        <is>
          <t>C</t>
        </is>
      </c>
      <c r="I9" s="3" t="inlineStr">
        <is>
          <t>選項A錯誤：Amyloid Plaques (澱粉樣斑塊) 主要由 Aβ42 胜肽組成，沉積在神經網 (Neuropil) 中 (即細胞外)，大腦類澱粉血管病變才主要為 Aβ40。
選項B錯誤：AD 在巨觀上可見不同程度的皮質萎縮 (Cortical atrophy)，如額葉、顳葉、頂葉，並伴隨代償性腦室擴大 (代償性水腦症, Hydrocephalus ex vacuo)，而非皮質增厚或腦室縮小。
選項C正確：Neurofibrillary Tangles 主要由過度磷酸化的 tau 蛋白聚集形成。tau 原為微管相關蛋白，在 AD 中轉移至細胞體或樹突並被過度磷酸化，失去與微管結合能力而形成纏結。
選項D錯誤：Aβ 是 APP 被胞吞後經由「澱粉樣變性途徑」 (Amyloidogenic pathway) 被 β-分泌酶裂解所形成。非澱粉樣變性途徑被 α-分泌酶裂解不會產生 Aβ。
選項E錯誤：跟 Plaques 的數量相比，Neurofibrillary tangles 的數量與失智程度的相關性較高，因此預後觀測 tau 會更準確。</t>
        </is>
      </c>
      <c r="J9" s="3">
        <f>== 【numbered_0908_Central nervous system(pathology) II.pdf】第 9、10 頁 ===</f>
        <v/>
      </c>
    </row>
    <row r="10" ht="72" customHeight="1">
      <c r="A10" s="2" t="n">
        <v>9</v>
      </c>
      <c r="B10" s="3" t="inlineStr">
        <is>
          <t>Parkinson Disease (帕金森氏症, PD) 的主要病理特徵與相關蛋白質聚集，下列敘述何者正確？</t>
        </is>
      </c>
      <c r="C10" s="3" t="inlineStr">
        <is>
          <t>主要表現是基底核內產生過量的多巴胺 (Dopamine)，導致動作過度活化。</t>
        </is>
      </c>
      <c r="D10" s="3" t="inlineStr">
        <is>
          <t>神經細胞內會形成 TDP-43 蛋白質聚集，作為其重要的診斷內含體。</t>
        </is>
      </c>
      <c r="E10" s="3" t="inlineStr">
        <is>
          <t>顯微鏡下觀察到的典型內含體為 Kuru plaques。</t>
        </is>
      </c>
      <c r="F10" s="3" t="inlineStr">
        <is>
          <t>其特徵性的蛋白質聚集形成 Lewy bodies (路易氏體)，此結構的主要組成成分為 α-synuclein (α-突觸核蛋白)。</t>
        </is>
      </c>
      <c r="G10" s="3" t="inlineStr">
        <is>
          <t>PD 屬於一種由 CAG 三核苷酸重複擴展引起的基因突變疾病。</t>
        </is>
      </c>
      <c r="H10" s="2" t="inlineStr">
        <is>
          <t>D</t>
        </is>
      </c>
      <c r="I10" s="3" t="inlineStr">
        <is>
          <t>選項A錯誤：Parkinson Disease 的主要表現是黑質 (Substantia nigra) 的多巴胺相關神經元缺失，導致多巴胺缺乏，表現為動作啟動困難 (Hypokinetic movement disorder)。
選項B錯誤：TDP-43 蛋白質聚集主要見於 Frontotemporal lobar degeneration (FTLD) 和 Amyotrophic lateral sclerosis (ALS)，並非 PD 的特徵。
選項C錯誤：Kuru plaques 是 Prion disease (普利昂疾病) 的病理特徵。
選項D正確：PD 的重要病理特徵為蛋白質累積形成 Lewy bodies 和 Lewy neurites，而 α-synuclein 便是 Lewy bodies 的核心組成成分。
選項E錯誤：CAG 三核苷酸重複擴展 (polyglutamine trinucleotide repeat expansion) 是 Huntington Disease (HD) 的致病機制，與 PD 無關 (PD 的相關基因包括 α-synuclein, LRRK2, DJ-1, parkin 等)。</t>
        </is>
      </c>
      <c r="J10" s="3">
        <f>== 【numbered_0908_Central nervous system(pathology) II.pdf】第 12 頁 ===</f>
        <v/>
      </c>
    </row>
    <row r="11" ht="72" customHeight="1">
      <c r="A11" s="2" t="n">
        <v>10</v>
      </c>
      <c r="B11" s="3" t="inlineStr">
        <is>
          <t>Huntington Disease (亨廷頓舞蹈症, HD) 是一種漸進性且致命的神經退化性疾病，下列敘述何者正確？</t>
        </is>
      </c>
      <c r="C11" s="3" t="inlineStr">
        <is>
          <t>HD 是一種體染色體隱性遺傳疾病，因此多數患者的父母並未發病。</t>
        </is>
      </c>
      <c r="D11" s="3" t="inlineStr">
        <is>
          <t>由 APP 基因上的異常突變所引起，導致腦內廣泛產生澱粉樣斑塊。</t>
        </is>
      </c>
      <c r="E11" s="3" t="inlineStr">
        <is>
          <t>主要造成大腦的視丘 (Thalamus) 急性肥大，進而引發呼吸困難。</t>
        </is>
      </c>
      <c r="F11" s="3" t="inlineStr">
        <is>
          <t>患者的臨床表現主要為嚴重的動作啟動困難 (動不起來)，類似帕金森氏症的晚期症狀。</t>
        </is>
      </c>
      <c r="G11" s="3" t="inlineStr">
        <is>
          <t>致病原因為 HTT 基因中的 CAG 三核苷酸重複擴展，病理上可見尾核 (Caudate nucleus) 明顯萎縮變小。</t>
        </is>
      </c>
      <c r="H11" s="2" t="inlineStr">
        <is>
          <t>E</t>
        </is>
      </c>
      <c r="I11" s="3" t="inlineStr">
        <is>
          <t>選項A錯誤：Huntington Disease 是 Autosomal dominant disease (體染色體顯性遺傳疾病)，只要遺傳到就會發病。
選項B錯誤：APP 基因異常是 Alzheimer Disease 的致病機制之一；HD 是由於 HTT 基因突變產生異常的 huntingtin 蛋白。
選項C錯誤：HD 的病理型態主要影響基底核，尤其是尾核 (Caudate nucleus) 會變得極小，早期亦影響豆狀核 (Putamen) 與蒼白球 (Globus pallidus)，並無造成視丘急性肥大。
選項D錯誤：HD 是一種 Hyperkinetic movement disorder (動作過多)，患者表現為「停不下來」的不自主運動 (舞蹈症)；帕金森氏症才是動作啟動困難 (動不起來)。
選項E正確：HD 為 polyglutamine trinucleotide repeat expansion disease，由 HTT 基因的 CAG 重複擴展引起 (正常6-35，大於35則發病)，病理巨觀可見腦部變小，尤其是尾核受影響最大而萎縮。</t>
        </is>
      </c>
      <c r="J11" s="3">
        <f>== 【numbered_0908_Central nervous system(pathology) II.pdf】第 12、13 頁 ===</f>
        <v/>
      </c>
    </row>
    <row r="12" ht="72" customHeight="1">
      <c r="A12" s="2" t="n">
        <v>11</v>
      </c>
      <c r="B12" s="3" t="inlineStr">
        <is>
          <t>Amyotrophic Lateral Sclerosis (肌萎縮性脊髓側索硬化症, ALS) 俗稱漸凍人症，關於 ALS 的敘述何者正確？</t>
        </is>
      </c>
      <c r="C12" s="3" t="inlineStr">
        <is>
          <t>疾病會同時影響大腦皮質內的上運動神經元與脊髓及腦幹內的下運動神經元，且部分家族性病例與 SOD1 基因突變有關。</t>
        </is>
      </c>
      <c r="D12" s="3" t="inlineStr">
        <is>
          <t>ALS 主要影響患者的認知功能與記憶力，大腦皮質會發生廣泛性的神經元死亡。</t>
        </is>
      </c>
      <c r="E12" s="3" t="inlineStr">
        <is>
          <t>患者最常見的早期症狀為雙側對稱性的下肢癱瘓，並伴隨嚴重的視神經炎。</t>
        </is>
      </c>
      <c r="F12" s="3" t="inlineStr">
        <is>
          <t>組織學上的特徵性標誌為細胞外堆積的大量 Aβ 澱粉樣蛋白斑塊。</t>
        </is>
      </c>
      <c r="G12" s="3" t="inlineStr">
        <is>
          <t>所有 ALS 案例皆為體染色體隱性遺傳所導致，因此發病率極高。</t>
        </is>
      </c>
      <c r="H12" s="2" t="inlineStr">
        <is>
          <t>A</t>
        </is>
      </c>
      <c r="I12" s="3" t="inlineStr">
        <is>
          <t>選項A正確：ALS 是一種運動神經元疾病，會影響上 (Cortex 裡) 下 (脊髓和腦幹裡) 的運動神經元。大約 20% 是遺傳性，其中部分與 SOD1 基因問題有關。
選項B錯誤：ALS 患者的認知功能通常不受影響，大腦皮質除運動區外大多正常 (例如霍金博士患病後仍能在物理學做出巨大貢獻)。
選項C錯誤：ALS 的早期臨床表現通常是雙手嚴重程度「不對稱」的無力，且不侵犯視神經 (視神經炎是 MS 或 NMO 的特徵)。
選項D錯誤：ALS 的顯微病理型態 (雖然少見) 可能觀察到 PAS-positive cytoplasmic inclusions (Bunina bodies; 為 autophagic vacuoles 的殘留物)；Aβ 澱粉樣蛋白斑塊是 Alzheimer Disease 的特徵。
選項E錯誤：ALS 是一種少見疾病 (發病率約 2/100,000)，多數 (80%) 屬於散發性不知病因，僅約 20% 為遺傳性。</t>
        </is>
      </c>
      <c r="J12" s="3">
        <f>== 【numbered_0908_Central nervous system(pathology) II.pdf】第 12、13 頁 ===</f>
        <v/>
      </c>
    </row>
    <row r="13" ht="72" customHeight="1">
      <c r="A13" s="2" t="n">
        <v>12</v>
      </c>
      <c r="B13" s="3" t="inlineStr">
        <is>
          <t>某素食患者長期感到下肢對稱性麻木、刺痛及輕微共濟失調 (Ataxia)，若未及時治療可能完全癱瘓。其病理切片顯示脊髓的 Ascending 和 Descending spinal tracts 同時出現髓鞘病變。此患者最可能是缺乏下列何種物質？</t>
        </is>
      </c>
      <c r="C13" s="3" t="inlineStr">
        <is>
          <t>Thiamine (Vitamin B1)</t>
        </is>
      </c>
      <c r="D13" s="3" t="inlineStr">
        <is>
          <t>Vitamin B12</t>
        </is>
      </c>
      <c r="E13" s="3" t="inlineStr">
        <is>
          <t>Glucose (低血糖)</t>
        </is>
      </c>
      <c r="F13" s="3" t="inlineStr">
        <is>
          <t>Dopamine</t>
        </is>
      </c>
      <c r="G13" s="3" t="inlineStr">
        <is>
          <t>Aquaporin-4 (AQP-4)</t>
        </is>
      </c>
      <c r="H13" s="2" t="inlineStr">
        <is>
          <t>B</t>
        </is>
      </c>
      <c r="I13" s="3" t="inlineStr">
        <is>
          <t>選項A錯誤：Thiamine (Vit B1) 缺乏主要引發 Wernicke encephalopathy 或 Korsakoff syndrome，影響乳頭體 (Mamillary bodies) 與視丘，表現為精神症狀與步態不穩，並非脊髓的上下行神經束合併退化。
選項B正確：Vitamin B12 缺乏會導致脊髓亞急性合併退化症 (Subacute combined degeneration of spinal cord)，使得髓磷脂無法合成，同時影響脊髓的 Ascending 和 Descending tracts。症狀常從下肢對稱性麻木、刺痛開始，素食者因 B12 多存在於動物性食物中而易缺乏。
選項C錯誤：低血糖 (Hypoglycemia) 主要影響對糖敏感的大腦皮質錐體細胞、海馬迴及小腦浦金氏細胞，類似缺氧損傷，不會專一性造成脊髓上下行神經束退化。
選項D錯誤：Dopamine 缺乏是 Parkinson Disease 的特徵，引發運動啟動困難。
選項E錯誤：AQP-4 是 Neuromyelitis Optica (NMO) 攻擊的標的蛋白，NMO 會造成視神經與脊髓的急性發炎，與素食及營養缺乏無關。</t>
        </is>
      </c>
      <c r="J13" s="3">
        <f>== 【numbered_0908_Central nervous system(pathology) II.pdf】第 14 頁 ===</f>
        <v/>
      </c>
    </row>
    <row r="14" ht="72" customHeight="1">
      <c r="A14" s="2" t="n">
        <v>13</v>
      </c>
      <c r="B14" s="3" t="inlineStr">
        <is>
          <t>關於毒素或代謝異常對中樞神經系統造成的病變，下列敘述何者正確？</t>
        </is>
      </c>
      <c r="C14" s="3" t="inlineStr">
        <is>
          <t>Methanol (甲醇) 中毒主要損害聽神經細胞，造成患者不可逆的永久性耳聾。</t>
        </is>
      </c>
      <c r="D14" s="3" t="inlineStr">
        <is>
          <t>肝性腦病 (Hepatic encephalopathy) 中，神經細胞為了代謝多餘的胺，會導致 Oligodendrocyte 大量增生形成星夜狀排列。</t>
        </is>
      </c>
      <c r="E14" s="3" t="inlineStr">
        <is>
          <t>慢性 Ethanol (乙醇) 中毒有約 1% 機率造成小腦前蚓部 (Anterior vermis) 的顆粒細胞萎縮，並伴隨星狀細胞增生 (Bergmann gliosis)。</t>
        </is>
      </c>
      <c r="F14" s="3" t="inlineStr">
        <is>
          <t>高劑量輻射暴露主要會造成大腦皮質灰質的液化性壞死 (Liquefactive necrosis)。</t>
        </is>
      </c>
      <c r="G14" s="3" t="inlineStr">
        <is>
          <t>Wernicke-Korsakoff syndrome 是由於慢性酒精中毒患者過度吸收 Vitamin B12 所引發的記憶障礙。</t>
        </is>
      </c>
      <c r="H14" s="2" t="inlineStr">
        <is>
          <t>C</t>
        </is>
      </c>
      <c r="I14" s="3" t="inlineStr">
        <is>
          <t>選項A錯誤：Methanol (甲醇，假酒成分) 中毒主要影響視網膜，造成視網膜神經節 (Retina ganglion) 不可逆的損害，嚴重者會導致失明，而非耳聾。
選項B錯誤：肝性腦病是由於肝損傷導致血中胺 (Ammonia) 濃度上升，其特徵病變是 Astrocyte (星狀細胞) 因胺毒性導致核變大、細胞質空亮的 Alzheimer type II cell，並非 Oligodendrocyte 增生。
選項C正確：慢性酒精中毒患者約有 1% 會出現 Alcoholic cerebellar degeneration (酒精性小腦退化)，特徵為小腦前蚓部 (Anterior vermis) 的 Granule cells 減少與萎縮，造成 Purkinje cell 減少，並發生星狀細胞增生 (Bergmann gliosis)。
選項D錯誤：高劑量輻射暴露 (大於 10Gy) 主要會在白質 (White matter) 造成大面積的凝固性壞死 (Coagulative necrosis)，而非液化性壞死。
選項E錯誤：Wernicke-Korsakoff syndrome 是因為慢性酒精中毒導致營養不良，缺乏 Thiamine (Vitamin B1) 所引起，並非吸收過多 Vitamin B12。</t>
        </is>
      </c>
      <c r="J14" s="3">
        <f>== 【numbered_0908_Central nervous system(pathology) II.pdf】第 14、15 頁 ===</f>
        <v/>
      </c>
    </row>
    <row r="15" ht="72" customHeight="1">
      <c r="A15" s="2" t="n">
        <v>14</v>
      </c>
      <c r="B15" s="3" t="inlineStr">
        <is>
          <t>Glioblastoma (多形性神經膠母細胞瘤) 是極為致命的原發性腦瘤，關於其特徵與分類，下列敘述何者正確？</t>
        </is>
      </c>
      <c r="C15" s="3" t="inlineStr">
        <is>
          <t>屬於 WHO Grade 2 的低度惡性腫瘤，只要切除乾淨通常存活期可超過 10 年。</t>
        </is>
      </c>
      <c r="D15" s="3" t="inlineStr">
        <is>
          <t>其病理組織學特徵為存在大量的 Homer-Wright rosettes 與 Rosenthal fibers。</t>
        </is>
      </c>
      <c r="E15" s="3" t="inlineStr">
        <is>
          <t>腫瘤細胞常帶有 IDH1 基因突變 (IDH-mutant) 以及 1p/19q 的共同缺失。</t>
        </is>
      </c>
      <c r="F15" s="3" t="inlineStr">
        <is>
          <t>在 2021 WHO 分類中被定義為 IDH-wild type (野生型)，且病理上必定可見壞死 (Necrosis) 或微血管增生 (Microvascular proliferation)。</t>
        </is>
      </c>
      <c r="G15" s="3" t="inlineStr">
        <is>
          <t>由於腫瘤具有極佳的輻射敏感性，單靠低劑量放射線治療即可達到完全治癒。</t>
        </is>
      </c>
      <c r="H15" s="2" t="inlineStr">
        <is>
          <t>D</t>
        </is>
      </c>
      <c r="I15" s="3" t="inlineStr">
        <is>
          <t>選項A錯誤：Glioblastoma (GBM) 屬於 WHO Grade 4 的高度惡性腫瘤，病程極快，平均存活僅約 0.5~2 年。
選項B錯誤：Homer-Wright rosettes 是 Medulloblastoma (神經管胚細胞瘤) 的特徵；Rosenthal fibers 則是 Pilocytic astrocytoma (毛狀星細胞瘤) 的特徵。
選項C錯誤：帶有 IDH1/2 突變及 1p/19q co-deletion 是 Oligodendroglioma (寡樹突細胞瘤) 的特徵；GBM 定義上必須是 IDH-wild type。
選項D正確：2021 WHO 定義 Glioblastoma 必須是 IDH-wild type，屬於 Grade 4。其病理學診斷的關鍵特徵即是出現壞死 (Necrosis) 或是微血管增生 (Microvascular proliferation)。
選項E錯誤：單靠放療無法治癒，GBM 除了手術切除外，還必須積極搭配放射線與化學治療，且預後仍然極差 (Medulloblastoma 才是輻射敏感性極高)。</t>
        </is>
      </c>
      <c r="J15" s="3">
        <f>== 【numbered_0908_Central nervous system(pathology) II.pdf】第 16、17 頁 ===</f>
        <v/>
      </c>
    </row>
    <row r="16" ht="72" customHeight="1">
      <c r="A16" s="2" t="n">
        <v>15</v>
      </c>
      <c r="B16" s="3" t="inlineStr">
        <is>
          <t>一名 35 歲男性因新發作的癲癇就醫，腦部核磁共振發現大腦白質有一邊界明顯且具鈣化的腫瘤。病理切片顯示細胞核呈圓形、細胞質清空如「荷包蛋」狀，且有細緻的網格狀微血管。此腫瘤最可能為何？</t>
        </is>
      </c>
      <c r="C16" s="3" t="inlineStr">
        <is>
          <t>Pilocytic astrocytoma (毛狀星細胞瘤)</t>
        </is>
      </c>
      <c r="D16" s="3" t="inlineStr">
        <is>
          <t>Ependymoma (室管膜細胞瘤)</t>
        </is>
      </c>
      <c r="E16" s="3" t="inlineStr">
        <is>
          <t>Meningioma (腦膜瘤)</t>
        </is>
      </c>
      <c r="F16" s="3" t="inlineStr">
        <is>
          <t>Glioblastoma (多形性神經膠母細胞瘤)</t>
        </is>
      </c>
      <c r="G16" s="3" t="inlineStr">
        <is>
          <t>Oligodendroglioma (寡樹突細胞瘤)</t>
        </is>
      </c>
      <c r="H16" s="2" t="inlineStr">
        <is>
          <t>E</t>
        </is>
      </c>
      <c r="I16" s="3" t="inlineStr">
        <is>
          <t>選項A錯誤：Pilocytic astrocytoma好發於孩童的小腦，微觀上呈現 Biphasic (雙相：微囊性與纖維狀) 及 Rosenthal fibers，沒有荷包蛋狀細胞。
選項B錯誤：Ependymoma 好發於腦室系統 (如第四腦室)，微觀特徵為 Ependymal rosettes 或 Perivascular pseudo-rosettes。
選項C錯誤：Meningioma 源於蜘蛛膜，通常附著在硬腦膜上，微觀特徵為細胞呈螺旋狀打轉 (whorls) 及 Psammoma bodies (砂粒體)。
選項D錯誤：Glioblastoma 是極度惡性 (Grade 4) 且具高度浸潤性的腫瘤，細胞具高度核異性，並有壞死與微血管增生，不會有邊界明顯的荷包蛋狀細胞。
選項E正確：Oligodendroglioma 好發於 30-40 歲成人大腦白質，巨觀邊界明顯且易鈣化，微觀特徵即為清楚的荷包蛋狀細胞 (spherical nuclei and cleared cytoplasm) 以及細緻網格狀血管 (anastomosing capillaries)。</t>
        </is>
      </c>
      <c r="J16" s="3">
        <f>== 【numbered_0908_Central nervous system(pathology) II.pdf】第 18 頁 ===</f>
        <v/>
      </c>
    </row>
    <row r="17" ht="72" customHeight="1">
      <c r="A17" s="2" t="n">
        <v>16</v>
      </c>
      <c r="B17" s="3" t="inlineStr">
        <is>
          <t>Pilocytic astrocytoma (毛狀星細胞瘤, PA) 是一種常見於孩童的腦腫瘤，下列關於其特徵的敘述，何者正確？</t>
        </is>
      </c>
      <c r="C17" s="3" t="inlineStr">
        <is>
          <t>它是 WHO grade 1 的相對良性腫瘤，微觀下可見 Biphasic (雙相) 形態以及 Rosenthal fibers (羅森塔爾氏纖維)。</t>
        </is>
      </c>
      <c r="D17" s="3" t="inlineStr">
        <is>
          <t>它主要發生在大腦皮質的表層，並與嚴重的 IDH1 基因突變高度相關。</t>
        </is>
      </c>
      <c r="E17" s="3" t="inlineStr">
        <is>
          <t>腫瘤細胞具有極強的局部侵入性 (Infiltrative)，因此手術難以切除乾淨。</t>
        </is>
      </c>
      <c r="F17" s="3" t="inlineStr">
        <is>
          <t>微觀下充滿小藍圓細胞且核質比高，會形成 Homer-Wright rosettes。</t>
        </is>
      </c>
      <c r="G17" s="3" t="inlineStr">
        <is>
          <t>患者多為 60 歲以上的老年人，預後極差，五年存活率不到 10%。</t>
        </is>
      </c>
      <c r="H17" s="2" t="inlineStr">
        <is>
          <t>A</t>
        </is>
      </c>
      <c r="I17" s="3" t="inlineStr">
        <is>
          <t>選項A正確：Pilocytic astrocytoma (PA) 為 WHO grade 1，相對較良性。微觀呈現 Biphasic (微囊性 loose microcystic 與纖維狀 fibrillary)，且容易觀察到 Bipolar cell 與嗜酸性的 Rosenthal fibers。
選項B錯誤：PA 多數發生於孩童與年輕人的「小腦」，分子遺傳上與 NF1 及 BRAF 突變相關，與 IDH 突變無關。
選項C錯誤：PA 常形成囊狀，邊界明顯 (Well circumscribed)，較不會發生局部侵入 (Infiltrative)。
選項D錯誤：充滿小藍圓細胞與 Homer-Wright rosettes 是 Medulloblastoma (神經管胚細胞瘤) 的典型特徵。
選項E錯誤：PA 好發於孩童與年輕人，因其邊界明顯且生長緩慢，預後通常相當良好。</t>
        </is>
      </c>
      <c r="J17" s="3">
        <f>== 【numbered_0908_Central nervous system(pathology) II.pdf】第 18 頁 ===</f>
        <v/>
      </c>
    </row>
    <row r="18" ht="72" customHeight="1">
      <c r="A18" s="2" t="n">
        <v>17</v>
      </c>
      <c r="B18" s="3" t="inlineStr">
        <is>
          <t>某 5 歲男童因步態不穩與反覆嘔吐就醫，影像學檢查發現小腦中線有一巨大實質腫瘤，並造成水腦症 (Hydrocephalus)。病理組織顯示腫瘤由緊密排列的小藍圓細胞組成，並可見 Homer-Wright rosettes。此腫瘤最可能為：</t>
        </is>
      </c>
      <c r="C18" s="3" t="inlineStr">
        <is>
          <t>Central neurocytoma (中心性腦神經細胞瘤)</t>
        </is>
      </c>
      <c r="D18" s="3" t="inlineStr">
        <is>
          <t>Medulloblastoma (神經管胚細胞瘤)</t>
        </is>
      </c>
      <c r="E18" s="3" t="inlineStr">
        <is>
          <t>Meningioma (腦膜瘤)</t>
        </is>
      </c>
      <c r="F18" s="3" t="inlineStr">
        <is>
          <t>Ganglioglioma (神經節膠質細胞瘤)</t>
        </is>
      </c>
      <c r="G18" s="3" t="inlineStr">
        <is>
          <t>Subependymal giant-cell astrocytoma (室管膜下巨細胞星形細胞瘤)</t>
        </is>
      </c>
      <c r="H18" s="2" t="inlineStr">
        <is>
          <t>B</t>
        </is>
      </c>
      <c r="I18" s="3" t="inlineStr">
        <is>
          <t>選項A錯誤：Central neurocytoma (WHO grade 2) 常見於腦室系統 (第三腦室或側腦室)，細胞形態類似寡樹突膠質瘤的荷包蛋狀，而非小藍圓細胞。
選項B正確：Medulloblastoma (WHO grade 4) 是孩童最常見的高度惡性腦腫瘤，好發於小腦中線。其快速增長會阻礙 CSF 流動造成水腦症。微觀下充滿核質比極高的小藍圓細胞，並形成 Homer-Wright rosettes (中央包圍神經纖維網 Neuropil)。
選項C錯誤：Meningioma 好發於成人，且源自蜘蛛膜，組織學為細胞呈螺旋狀排列與砂粒體，非小藍圓細胞。
選項D錯誤：Ganglioglioma 好發於顳葉，臨床多表現為癲癇，腫瘤混合神經節與神經膠細胞分化，預後佳 (WHO grade 1)。
選項E錯誤：Subependymal giant-cell astrocytoma (SEGA) 與結節性硬化症 (TSC) 相關，通常位於側腦室室管膜下，為良性星形細胞瘤，不具小藍圓細胞與 Homer-Wright rosettes。</t>
        </is>
      </c>
      <c r="J18" s="3">
        <f>== 【numbered_0908_Central nervous system(pathology) II.pdf】第 19、20 頁 ===</f>
        <v/>
      </c>
    </row>
    <row r="19" ht="72" customHeight="1">
      <c r="A19" s="2" t="n">
        <v>18</v>
      </c>
      <c r="B19" s="3" t="inlineStr">
        <is>
          <t>Primary CNS lymphoma (原發性中樞神經系統淋巴瘤, PCNSL) 的臨床與流行病學特徵，下列敘述何者正確？</t>
        </is>
      </c>
      <c r="C19" s="3" t="inlineStr">
        <is>
          <t>在免疫功能正常的年輕人中最為常見，且多由 T 細胞惡性增生所引起。</t>
        </is>
      </c>
      <c r="D19" s="3" t="inlineStr">
        <is>
          <t>此腫瘤主要源自於轉移性的大腸直腸癌，因此在腦內多呈現單一局限病灶。</t>
        </is>
      </c>
      <c r="E19" s="3" t="inlineStr">
        <is>
          <t>在免疫功能低下 (如 AIDS 或服用免疫抑制劑) 的族群中最常見，且與 EBV (EB病毒) 感染高度相關。</t>
        </is>
      </c>
      <c r="F19" s="3" t="inlineStr">
        <is>
          <t>其絕大部分的細胞型態屬於微小清晰細胞 (Clear cell)，並伴隨極高頻率的 IDH 突變。</t>
        </is>
      </c>
      <c r="G19" s="3" t="inlineStr">
        <is>
          <t>發病位置通常侷限於脊髓中央管，絕不會侵犯大腦實質 (Brain parenchyma)。</t>
        </is>
      </c>
      <c r="H19" s="2" t="inlineStr">
        <is>
          <t>C</t>
        </is>
      </c>
      <c r="I19" s="3" t="inlineStr">
        <is>
          <t>選項A錯誤：PCNSL 在免疫功能低下的族群中較為常見，且腫瘤細胞來源大多是 B cell (特別是 Diffuse large B cell lymphoma, DLBCL)，而非 T 細胞。
選項B錯誤：它是「原發性」淋巴瘤，並非大腸直腸癌轉移。此外，PCNSL 在腦實質中通常有多處病灶 (Multifocal)。
選項C正確：PCNSL 是免疫功能低下族群中最常見的 CNS 腫瘤，且其致病機制與 EBV (Epstein-Barr virus) 感染高度相關。
選項D錯誤：PCNSL 是淋巴瘤，最常見為 DLBCL 型態，不屬於伴隨 IDH 突變的膠質細胞瘤 (Glioma) 或 Clear cell 形態 (Clear cell 是某類腦膜瘤或腎細胞癌的特徵)。
選項E錯誤：PCNSL 的病灶通常就出現在腦實質 (Brain parenchyma) 內，且常為多發性 (Multifocal)。</t>
        </is>
      </c>
      <c r="J19" s="3">
        <f>== 【numbered_0908_Central nervous system(pathology) II.pdf】第 20 頁 ===</f>
        <v/>
      </c>
    </row>
    <row r="20" ht="72" customHeight="1">
      <c r="A20" s="2" t="n">
        <v>19</v>
      </c>
      <c r="B20" s="3" t="inlineStr">
        <is>
          <t>Meningioma (腦膜瘤) 是成人最常見的良性顱內腫瘤，關於其特性，下列敘述何者正確？</t>
        </is>
      </c>
      <c r="C20" s="3" t="inlineStr">
        <is>
          <t>男性發生率顯著高於女性，且病灶多位於小腦深處的神經節內。</t>
        </is>
      </c>
      <c r="D20" s="3" t="inlineStr">
        <is>
          <t>大多數腦膜瘤屬於 WHO Grade 4，局部侵犯性極強，手術無法切除。</t>
        </is>
      </c>
      <c r="E20" s="3" t="inlineStr">
        <is>
          <t>分子遺傳學上，最常見的染色體異常是第 1p/19q 染色體共同缺失。</t>
        </is>
      </c>
      <c r="F20" s="3" t="inlineStr">
        <is>
          <t>腫瘤細胞常會表現 Progesterone receptor (黃體素受體)，因此懷孕期間可能會加快腫瘤的生長速度。</t>
        </is>
      </c>
      <c r="G20" s="3" t="inlineStr">
        <is>
          <t>在微觀組織學下，必定伴隨大面積的壞死與「機油狀液體」囊腫。</t>
        </is>
      </c>
      <c r="H20" s="2" t="inlineStr">
        <is>
          <t>D</t>
        </is>
      </c>
      <c r="I20" s="3" t="inlineStr">
        <is>
          <t>選項A錯誤：Meningioma 的發生率女性高於男性 (顱內型約 3:2，脊椎型約 10:1)，且腫瘤源自蜘蛛膜 (Arachnoid)，多附著於硬腦膜，不會長在小腦深處的神經節內。
選項B錯誤：大多為良性，初次發病多屬 WHO Grade 1，雖然生長位置可能導致切除困難，但並非高度惡性的 Grade 4。
選項C錯誤：腦膜瘤最常見的分子遺傳學異常是第 22 對染色體缺失 (特別是 22q12 的 NF2 基因突變)；1p/19q 缺失是 Oligodendroglioma 的特徵。
選項D正確：腦膜瘤會表現多種賀爾蒙受體，其中 Progesterone receptor 會對懷孕婦女體內增加的 Progesterone (黃體素) 產生反應，從而加快腫瘤生長。
選項E錯誤：微觀下多呈現細胞螺旋狀打轉 (whorl) 及砂粒體；大面積壞死是 Glioblastoma 特徵，「機油狀液體」則是 Adamantinomatous craniopharyngioma (ACP) 的特徵。</t>
        </is>
      </c>
      <c r="J20" s="3">
        <f>== 【numbered_0908_Central nervous system(pathology) II.pdf】第 21 頁 ===</f>
        <v/>
      </c>
    </row>
    <row r="21" ht="72" customHeight="1">
      <c r="A21" s="2" t="n">
        <v>20</v>
      </c>
      <c r="B21" s="3" t="inlineStr">
        <is>
          <t>關於 Craniopharyngioma (顱咽管瘤) 的兩種亞型：Adamantinomatous craniopharyngioma (ACP) 與 Papillary craniopharyngioma (PCP) 的比較，何者正確？</t>
        </is>
      </c>
      <c r="C21" s="3" t="inlineStr">
        <is>
          <t>PCP 絕大多數發生於 5~15 歲的兒童，且預後極差。</t>
        </is>
      </c>
      <c r="D21" s="3" t="inlineStr">
        <is>
          <t>ACP 在巨觀上常表現為界線清楚的實心固體腫瘤，完全沒有囊狀分葉。</t>
        </is>
      </c>
      <c r="E21" s="3" t="inlineStr">
        <is>
          <t>PCP 的組織學特徵為多層柵狀細胞排列，並伴隨大量鈣化與壞死。</t>
        </is>
      </c>
      <c r="F21" s="3" t="inlineStr">
        <is>
          <t>ACP 具有高比例的 BRAF V600E 突變，對放射線治療具高度抵抗性。</t>
        </is>
      </c>
      <c r="G21" s="3" t="inlineStr">
        <is>
          <t>ACP 常形成分葉狀的囊腫，內部含有「機油狀液體」(machine oil fluid)，並可見 nodular "wet keratin" whorls。</t>
        </is>
      </c>
      <c r="H21" s="2" t="inlineStr">
        <is>
          <t>E</t>
        </is>
      </c>
      <c r="I21" s="3" t="inlineStr">
        <is>
          <t>選項A錯誤：PCP 好發於 40~55 歲的成年人；ACP 才是好發於 5~15 歲的兒童。
選項B錯誤：ACP 在巨觀上呈現囊狀分葉 (Lobulated, cystic mass)；PCP 則多為離散但界線清楚的固體，少有分囊。
選項C錯誤：多層柵狀細胞排列 (Peripherally palisaded) 以及大量鈣化、壞死是 ACP 的特徵；PCP 的組織學特徵則是未角質化、高分化的扁平上皮細胞與明顯相連的基質核心。
選項D錯誤：具有高比例 (81~95%) BRAF V600E 變異的是 PCP；ACP 則是有 β-catenin gene (CTNNB1) 突變。
選項E正確：Adamantinomatous craniopharyngioma (ACP) 巨觀特徵為囊狀分葉且內含機油狀液體，組織學特徵包含周邊柵狀細胞與中央緊密的 nodular "wet keratin" whorls (角質化堆積)。</t>
        </is>
      </c>
      <c r="J21" s="3">
        <f>== 【numbered_0908_Central nervous system(pathology) II.pdf】第 24 頁 ===</f>
        <v/>
      </c>
    </row>
    <row r="22" ht="72" customHeight="1">
      <c r="A22" s="2" t="n">
        <v>21</v>
      </c>
      <c r="B22" s="3" t="inlineStr">
        <is>
          <t>腫瘤伴生神經症候群 (Paraneoplastic Syndromes) 是由於腫瘤抗原與神經系統抗原發生交叉免疫反應所致。下列關於特定抗體與其引發症狀之配對，何者正確？</t>
        </is>
      </c>
      <c r="C22" s="3" t="inlineStr">
        <is>
          <t>PCA-1 antibody (anti-Yo) ─ 導致 Subacute cerebellar degeneration，會破壞 Purkinje cells，常見於卵巢癌或乳癌女性。</t>
        </is>
      </c>
      <c r="D22" s="3" t="inlineStr">
        <is>
          <t>ANNA-1 antibody (anti-Hu) ─ 主要影響脊髓前角運動神經元，導致類似漸凍人的肌肉萎縮。</t>
        </is>
      </c>
      <c r="E22" s="3" t="inlineStr">
        <is>
          <t>Anti-NMDA receptor antibody ─ 會破壞周邊神經肌肉接合處的突觸後受體，引發重症肌無力。</t>
        </is>
      </c>
      <c r="F22" s="3" t="inlineStr">
        <is>
          <t>PCA-1 antibody (anti-Yo) ─ 常見於小細胞肺癌患者，會引發快速進展的失智症 (Subacute dementia)。</t>
        </is>
      </c>
      <c r="G22" s="3" t="inlineStr">
        <is>
          <t>ANNA-1 antibody (anti-Hu) ─ 主要影響交感神經節，造成全身性多汗與血壓飆升。</t>
        </is>
      </c>
      <c r="H22" s="2" t="inlineStr">
        <is>
          <t>A</t>
        </is>
      </c>
      <c r="I22" s="3" t="inlineStr">
        <is>
          <t>選項A正確：PCA-1 antibody (anti-Yo) 會導致亞急性小腦退化 (Subacute cerebellar degeneration)，破壞小腦的 Purkinje cells，常發生於有卵巢癌、子宮癌和乳癌的女性患者身上。
選項B錯誤：ANNA-1 antibody (anti-Hu) 確實會引發 Limbic encephalitis 或影響神經核，但其主要影響 CNS 和 PNS 的 Neuronal nuclei，並與小細胞肺癌相關，不會特異性表現為類似 ALS 的前角運動神經元破壞。
選項C錯誤：Anti-NMDA receptor antibody 主要影響海馬迴神經元 (Hippocampal neurons)，引發 Anti-NMDA 腦炎 (如意識混亂、精神症狀)，常與女性的卵巢畸胎瘤 (Ovarian teratomas) 相關。影響周邊神經肌肉接合處 (突觸前 Ca2+通道) 的是 Lambert-Eaton syndrome。
選項D錯誤：引發 Limbic encephalitis 並與小細胞肺癌相關的是 anti-Hu，而非 anti-Yo。
選項E錯誤：anti-Hu 影響廣泛的 neuronal nuclei，並非專一性影響交感神經節造成多汗與血壓飆升。</t>
        </is>
      </c>
      <c r="J22" s="3">
        <f>== 【numbered_0908_Central nervous system(pathology) II.pdf】第 25 頁 ===</f>
        <v/>
      </c>
    </row>
    <row r="23" ht="72" customHeight="1">
      <c r="A23" s="2" t="n">
        <v>22</v>
      </c>
      <c r="B23" s="3" t="inlineStr">
        <is>
          <t>多發性神經纖維瘤 (Neurofibromatosis) 是一種家族性腫瘤症候群，分為 NF1 與 NF2 兩型。關於這兩型的區別，下列敘述何者正確？</t>
        </is>
      </c>
      <c r="C23" s="3" t="inlineStr">
        <is>
          <t>NF1 為體染色體隱性遺傳，NF2 則為體染色體顯性遺傳。</t>
        </is>
      </c>
      <c r="D23" s="3" t="inlineStr">
        <is>
          <t>NF2 的盛行率極高 (約 1/3000)，且特徵為皮膚出現大量咖啡牛奶斑 (café au lait spots)。</t>
        </is>
      </c>
      <c r="E23" s="3" t="inlineStr">
        <is>
          <t>NF1 患者常見的病灶包含第八對腦神經的雙側神經鞘瘤 (Bilateral Schwannomas)。</t>
        </is>
      </c>
      <c r="F23" s="3" t="inlineStr">
        <is>
          <t>NF1 最明顯的表徵包含皮膚上的咖啡牛奶斑及虹膜的色素結節 (Lisch nodules)。</t>
        </is>
      </c>
      <c r="G23" s="3" t="inlineStr">
        <is>
          <t>NF2 的典型表現是周邊神經系統長滿大量的神經纖維瘤 (Neurofibromas)，但絕不會長腦膜瘤。</t>
        </is>
      </c>
      <c r="H23" s="2" t="inlineStr">
        <is>
          <t>D</t>
        </is>
      </c>
      <c r="I23" s="3" t="inlineStr">
        <is>
          <t>選項A錯誤：NF1 與 NF2 皆屬於體染色體顯性 (Autosomal dominant) 遺傳。
選項B錯誤：NF2 的盛行率較低 (約 1/40,000 到 1/50,000)，皮膚出現咖啡牛奶斑是 NF1 的特徵。
選項C錯誤：第八對腦神經 (CN VIII) 雙側的神經鞘瘤 (Schwannomas) 是 NF2 的標誌性特徵，而非 NF1。
選項D正確：NF1 盛行率約 1/3000，其典型臨床表現包含皮膚的咖啡牛奶斑 (café au lait spots)、虹膜色素結節 (Lisch nodules)、PNS神經纖維瘤及 CNS視神經膠質瘤。
選項E錯誤：大量神經纖維瘤是 NF1 的特徵；NF2 患者的核心特徵除了 CN VIII 神經鞘瘤外，也非常容易伴隨多發性腦膜瘤 (Multiple meningiomas) 以及脊髓的室管膜瘤。</t>
        </is>
      </c>
      <c r="J23" s="3">
        <f>== 【numbered_0908_Central nervous system(pathology) II.pdf】第 26 頁 ===</f>
        <v/>
      </c>
    </row>
    <row r="24" ht="72" customHeight="1">
      <c r="A24" s="2" t="n">
        <v>23</v>
      </c>
      <c r="B24" s="3" t="inlineStr">
        <is>
          <t>結節性硬化症 (Tuberous Sclerosis Complex, TSC) 是一種會導致全身多處生長良性腫瘤的遺傳疾病，其發病機轉與臨床表現為何？</t>
        </is>
      </c>
      <c r="C24" s="3" t="inlineStr">
        <is>
          <t>是由於 VHL 基因突變導致 HIF-1 無法被降解，進而刺激血管大量增生。</t>
        </is>
      </c>
      <c r="D24" s="3" t="inlineStr">
        <is>
          <t>患者的神經系統常會發生高度惡性的 Glioblastoma，導致病程極短。</t>
        </is>
      </c>
      <c r="E24" s="3" t="inlineStr">
        <is>
          <t>致病機轉為 TSC1 (Hamartin) 或 TSC2 (Tuberin) 突變，使得 mTOR kinase pathway 失去抑制，導致錯構瘤 (Hamartoma) 大量生長。</t>
        </is>
      </c>
      <c r="F24" s="3" t="inlineStr">
        <is>
          <t>這是一種性聯遺傳疾病，因此絕大多數患者均為男性。</t>
        </is>
      </c>
      <c r="G24" s="3" t="inlineStr">
        <is>
          <t>其皮膚特徵為全身出現極深色的黑色素瘤 (Melanoma)，並伴隨嚴重的脫毛。</t>
        </is>
      </c>
      <c r="H24" s="2" t="inlineStr">
        <is>
          <t>C</t>
        </is>
      </c>
      <c r="I24" s="3" t="inlineStr">
        <is>
          <t>選項A錯誤：VHL 基因突變與 HIF-1 降解失敗是 Von Hippel-Lindau (VHL) disease 的致病機轉，並非 TSC。
選項B錯誤：TSC 在神經系統中主要產生良性病變，例如腦皮質結節 (Cortical tubers) 及良性的室管膜下巨細胞星形細胞瘤 (SEGA)，而非惡性的 Glioblastoma。
選項C正確：TSC 是因 TSC1 (9q34, Hamartin) 或 TSC2 (16p13.3, Tuberin) 基因突變，導致無法形成複合物抑制 mTOR kinase pathway。mTOR 失去抑制後會促進細胞過度生長，進而在腦部及多個器官形成錯構瘤 (Hamartoma) 與良性腫瘤。
選項D錯誤：TSC 是一種體染色體顯性遺傳 (Autosomal dominant) 疾病，並非性聯遺傳。
選項E錯誤：TSC 的皮膚特徵包含色素減退的灰葉斑 (Ash leaf patches, Hypopigmented areas)、血管纖維瘤、鯊革斑 (Shagreen patches) 等，而非深色的惡性黑色素瘤。</t>
        </is>
      </c>
      <c r="J24" s="3">
        <f>== 【numbered_0908_Central nervous system(pathology) II.pdf】第 26、27 頁 ===</f>
        <v/>
      </c>
    </row>
    <row r="25" ht="72" customHeight="1">
      <c r="A25" s="2" t="n">
        <v>24</v>
      </c>
      <c r="B25" s="3" t="inlineStr">
        <is>
          <t>Von Hippel-Lindau disease (VHL) 是一種家族性腫瘤症候群，下列關於此疾病的敘述何者正確？</t>
        </is>
      </c>
      <c r="C25" s="3" t="inlineStr">
        <is>
          <t>VHL 基因編碼一種可活化 mTOR 的蛋白，突變後會導致錯構瘤 (Hamartoma) 生成。</t>
        </is>
      </c>
      <c r="D25" s="3" t="inlineStr">
        <is>
          <t>CNS 最常見的病灶為視神經鞘瘤 (Optic nerve schwannoma)。</t>
        </is>
      </c>
      <c r="E25" s="3" t="inlineStr">
        <is>
          <t>患者極容易在皮膚上長出大量的咖啡牛奶斑 (café au lait spots)。</t>
        </is>
      </c>
      <c r="F25" s="3" t="inlineStr">
        <is>
          <t>致病原因為 VHL 蛋白 (Ubiquitin ligase) 異常無法抑制 HIF-1，患者常在 CNS 長出血管母細胞瘤 (Hemangioblastomas)，並有高風險罹患腎細胞癌 (RCC)。</t>
        </is>
      </c>
      <c r="G25" s="3" t="inlineStr">
        <is>
          <t>此疾病盛行率極高 (約 1/3000)，為最常見的家族性神經腫瘤症候群。</t>
        </is>
      </c>
      <c r="H25" s="2" t="inlineStr">
        <is>
          <t>D</t>
        </is>
      </c>
      <c r="I25" s="3" t="inlineStr">
        <is>
          <t>選項A錯誤：調控 mTOR 導致錯構瘤生成的是 TSC1/TSC2 基因 (與 Tuberous Sclerosis Complex 相關)。VHL 基因編碼的是一種 Ubiquitin ligase 複合物，負責抑制 HIF-1 轉錄因子。
選項B錯誤：VHL 患者在 CNS 最常見的腫瘤是血管母細胞瘤 (Hemangioblastomas)；神經鞘瘤 (Schwannomas) 則是 NF2 的特徵。
選項C錯誤：咖啡牛奶斑是多發性神經纖維瘤第一型 (NF1) 的典型表徵。
選項D正確：VHL 疾病是因 VHL 基因突變，無法順利泛素化降解 HIF-1，導致 HIF-1 調控的生長信號過度活化。其典型表現包含 CNS 的血管母細胞瘤 (Hemangioblastomas) 以及惡性的腎細胞癌 (Renal cell carcinoma, RCC) 與嗜鉻細胞瘤。
選項E錯誤：VHL 的盛行率相當低，約 1/30000～1/40000；最常見的家族性腫瘤症候群為 NF1 (盛行率約 1/3000)。</t>
        </is>
      </c>
      <c r="J25" s="3">
        <f>== 【numbered_0908_Central nervous system(pathology) II.pdf】第 27 頁 ===</f>
        <v/>
      </c>
    </row>
    <row r="26" ht="72" customHeight="1">
      <c r="A26" s="2" t="n">
        <v>25</v>
      </c>
      <c r="B26" s="3" t="inlineStr">
        <is>
          <t>關於懷孕期間母體遭遇 Viral Infections (病毒感染) 對胎兒中樞神經系統發育的影響，下列敘述何者正確？</t>
        </is>
      </c>
      <c r="C26" s="3" t="inlineStr">
        <is>
          <t>狂犬病毒 (Rabies virus) 易透過胎盤感染胎兒，造成胎兒大腦白質廣泛去髓鞘化 (Demyelination)。</t>
        </is>
      </c>
      <c r="D26" s="3" t="inlineStr">
        <is>
          <t>孕婦若在第一孕期感染弓漿蟲 (Toxoplasma)，通常會激發胎兒強大的免疫力，使胎兒出生後完全免疫神經病變。</t>
        </is>
      </c>
      <c r="E26" s="3" t="inlineStr">
        <is>
          <t>孕婦若產道感染 HSV-2，自然產的新生兒有高達 50% 機率得到嚴重的腦炎。</t>
        </is>
      </c>
      <c r="F26" s="3" t="inlineStr">
        <is>
          <t>JC polyomavirus 是造成新生兒小頭畸形 (Microcephaly) 且伴隨腦室周圍鈣化 (periventricular calcification) 的最主要元兇。</t>
        </is>
      </c>
      <c r="G26" s="3" t="inlineStr">
        <is>
          <t>母體若感染小兒麻痺病毒 (Poliovirus)，病毒會專一性破壞胎兒的大腦皮質錐體細胞，導致智力低下。</t>
        </is>
      </c>
      <c r="H26" s="2" t="inlineStr">
        <is>
          <t>C</t>
        </is>
      </c>
      <c r="I26" s="3" t="inlineStr">
        <is>
          <t>選項A錯誤：狂犬病毒 (Rabies virus) 主要透過動物咬傷經周邊神經逆行感染，講義中並未提及它是造成胎盤感染與胎兒去髓鞘化的主因 (去髓鞘化主要與 PML 或 MS 等相關)。
選項B錯誤：在非免疫抑制宿主中，最嚴重的弓漿蟲感染情況是第一孕期發生母體感染 (TORCH中的T)，會導致寶寶嚴重畸形，而非產生免疫力。
選項C正確：Herpes simplex virus type 2 (HSV-2) 常感染成人造成腦膜炎，若懷孕婦女產道有 HSV-2，在自然產過程中新生兒接觸病毒，有高達 50% 機率引發嚴重的新生兒腦炎。
選項D錯誤：造成胎兒腦室周圍壞死 (Periventricular necrosis)、小頭畸形 (Microcephaly) 以及 periventricular calcification 的是 Cytomegalovirus (巨細胞病毒, CMV)，屬於 TORCH 感染群；JC 病毒是造成免疫低下者 PML 的原因。
選項E錯誤：小兒麻痺病毒 (Poliovirus) 主要是五歲以下孩童經糞口傳染，病毒攻擊的是脊髓的 Anterior horn motor neurons (前角運動神經元) 導致肢體麻痺，而非專門攻擊胎兒大腦皮質錐體細胞。</t>
        </is>
      </c>
      <c r="J26" s="3">
        <f>== 【numbered_0908_Central nervous system(pathology) II.pdf】第 2、4 頁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2026-08-01T16:24:39Z</dcterms:created>
  <dcterms:modified xmlns:dcterms="http://purl.org/dc/terms/" xmlns:xsi="http://www.w3.org/2001/XMLSchema-instance" xsi:type="dcterms:W3CDTF">2026-08-01T16:24:39Z</dcterms:modified>
</cp:coreProperties>
</file>