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8" customWidth="1" min="1" max="1"/>
    <col width="45" customWidth="1" min="2" max="2"/>
    <col width="30" customWidth="1" min="3" max="3"/>
    <col width="30" customWidth="1" min="4" max="4"/>
    <col width="30" customWidth="1" min="5" max="5"/>
    <col width="30" customWidth="1" min="6" max="6"/>
    <col width="30" customWidth="1" min="7" max="7"/>
    <col width="15" customWidth="1" min="8" max="8"/>
    <col width="60" customWidth="1" min="9" max="9"/>
    <col width="40" customWidth="1" min="10" max="10"/>
  </cols>
  <sheetData>
    <row r="1">
      <c r="A1" s="1" t="inlineStr">
        <is>
          <t>題號</t>
        </is>
      </c>
      <c r="B1" s="1" t="inlineStr">
        <is>
          <t>題目內容</t>
        </is>
      </c>
      <c r="C1" s="1" t="inlineStr">
        <is>
          <t>選項A</t>
        </is>
      </c>
      <c r="D1" s="1" t="inlineStr">
        <is>
          <t>選項B</t>
        </is>
      </c>
      <c r="E1" s="1" t="inlineStr">
        <is>
          <t>選項C</t>
        </is>
      </c>
      <c r="F1" s="1" t="inlineStr">
        <is>
          <t>選項D</t>
        </is>
      </c>
      <c r="G1" s="1" t="inlineStr">
        <is>
          <t>選項E</t>
        </is>
      </c>
      <c r="H1" s="1" t="inlineStr">
        <is>
          <t>正確答案</t>
        </is>
      </c>
      <c r="I1" s="1" t="inlineStr">
        <is>
          <t>針對各選項之詳解</t>
        </is>
      </c>
      <c r="J1" s="1" t="inlineStr">
        <is>
          <t>出處</t>
        </is>
      </c>
    </row>
    <row r="2" ht="72" customHeight="1">
      <c r="A2" s="2" t="n">
        <v>1</v>
      </c>
      <c r="B2" s="3" t="inlineStr">
        <is>
          <t>關於中樞神經系統中常見細胞型態及其受損反應的敘述，下列何者正確？</t>
        </is>
      </c>
      <c r="C2" s="3" t="inlineStr">
        <is>
          <t>Microglia (微小膠細胞) 是中樞神經系統中的巨噬細胞，其表面標記包含 CD63 與 CD68。</t>
        </is>
      </c>
      <c r="D2" s="3" t="inlineStr">
        <is>
          <t>Oligodendrocyte (寡樹突細胞) 負責生成周邊神經系統 (PNS) 中神經元的髓鞘。</t>
        </is>
      </c>
      <c r="E2" s="3" t="inlineStr">
        <is>
          <t>Astrocyte (星狀細胞) 的主要功能是傳導神經衝動，為神經系統的基本功能單元。</t>
        </is>
      </c>
      <c r="F2" s="3" t="inlineStr">
        <is>
          <t>Neuron (神經細胞) 在受損時，會大量增生以修補組織，形成 CNS 中的疤痕組織。</t>
        </is>
      </c>
      <c r="G2" s="3" t="inlineStr">
        <is>
          <t>Gemistocytic astrocyte (原漿性星狀細胞) 屬於 Microglia (微小膠細胞) 的一種反應活化型態。</t>
        </is>
      </c>
      <c r="H2" s="2" t="inlineStr">
        <is>
          <t>A</t>
        </is>
      </c>
      <c r="I2" s="3" t="inlineStr">
        <is>
          <t>選項A正確，Microglia (微小膠細胞) 確實扮演中樞神經系統中的巨噬細胞角色，主要清除壞死組織與病原體，並帶有 CD63 與 CD68 的細胞標記。
選項B敘述錯誤，Oligodendrocyte (寡樹突細胞) 負責的是「中樞神經系統 (CNS)」神經元的髓鞘生成；而「周邊神經系統 (PNS)」的髓鞘是由 Schwann cells (許旺細胞) 所生成。
選項C敘述錯誤，傳導神經衝動與作為基本功能單元的是 Neuron (神經細胞)。Astrocyte (星狀細胞) 的功能為產生 stroma、Neuropil (神經纖維網) 以及包覆微血管形成 Blood-Brain Barrier (血腦障壁)。
選項D敘述錯誤，Neuron (神經細胞) 受損時通常會退化或死亡，並不會增生形成疤痕組織；在中樞神經系統中產生疤痕組織 (Gliosis (神經膠樣變性)) 的是 Astrocyte (星狀細胞)。
選項E敘述錯誤，Gemistocytic astrocyte (原漿性星狀細胞) 又稱為 reactive astrocyte，是 Astrocyte (星狀細胞) 在受損增生變大時的型態，並非 Microglia (微小膠細胞)。</t>
        </is>
      </c>
      <c r="J2" s="3">
        <f>== 【numbered_0908_Central nervous system(pathology).pdf】第 1、2 頁 ===</f>
        <v/>
      </c>
    </row>
    <row r="3" ht="72" customHeight="1">
      <c r="A3" s="2" t="n">
        <v>2</v>
      </c>
      <c r="B3" s="3" t="inlineStr">
        <is>
          <t>當病患經歷急性中樞神經系統缺氧、缺血或嚴重低血糖時，神經細胞最早出現的型態學標的為下列何者？</t>
        </is>
      </c>
      <c r="C3" s="3" t="inlineStr">
        <is>
          <t>神經細胞失去突觸，進展為慢性的 Gliosis (神經膠樣變性)。</t>
        </is>
      </c>
      <c r="D3" s="3" t="inlineStr">
        <is>
          <t>組織學切片上可觀察到深色且細胞核受損的 Red neurons (紅神經元)。</t>
        </is>
      </c>
      <c r="E3" s="3" t="inlineStr">
        <is>
          <t>神經細胞質內會出現大量的 Rosenthal fiber (羅森塔爾纖維)。</t>
        </is>
      </c>
      <c r="F3" s="3" t="inlineStr">
        <is>
          <t>出現具有明顯核內肝醣堆積的 Alzheimer type II cell (第二型阿茲海默細胞)。</t>
        </is>
      </c>
      <c r="G3" s="3" t="inlineStr">
        <is>
          <t>神經細胞內產生大量的 Negri body (內格里氏體) 作為急性缺氧的特徵。</t>
        </is>
      </c>
      <c r="H3" s="2" t="inlineStr">
        <is>
          <t>B</t>
        </is>
      </c>
      <c r="I3" s="3" t="inlineStr">
        <is>
          <t>選項A敘述錯誤，失去突觸與引發 Gliosis (神經膠樣變性) 是神經細胞經歷「亞急性/慢性傷害 (Subacute and chronic injury)」時的表現，而非急性傷害。
選項B正確，在急性 CNS 缺氧或缺血時，神經細胞死亡最早的型態學改變即為出現 Red neurons (紅神經元)，表現為細胞質深染偏紅且細胞核受損。
選項C敘述錯誤，Rosenthal fiber (羅森塔爾纖維) 出現於 Astrocyte (星狀細胞) 的 process 中，且通常與長期的 gliosis 區域或 Pilocytic astrocytoma 有關，並非急性神經細胞缺血的特徵。
選項D敘述錯誤，Alzheimer type II cell (第二型阿茲海默細胞) 是灰質中的星狀細胞病變，常見於高氨血症 (Hyperammonemia) 或肝性腦病變，與急性缺血無關。
選項E敘述錯誤，Negri body (內格里氏體) 是感染 Rabies (狂犬病) 病毒時出現的 Neuronal inclusions (神經細胞包涵體)，並非缺氧或低血糖的急性反應。</t>
        </is>
      </c>
      <c r="J3" s="3">
        <f>== 【numbered_0908_Central nervous system(pathology).pdf】第 1、2 頁 ===</f>
        <v/>
      </c>
    </row>
    <row r="4" ht="54" customHeight="1">
      <c r="A4" s="2" t="n">
        <v>3</v>
      </c>
      <c r="B4" s="3" t="inlineStr">
        <is>
          <t>關於星狀細胞 (Astrocyte) 受損或退化時產生的細胞質包涵體 (Cytoplasmic inclusion bodies)，下列敘述何者正確？</t>
        </is>
      </c>
      <c r="C4" s="3" t="inlineStr">
        <is>
          <t>Rosenthal fiber (羅森塔爾纖維) 主要呈現同心圓層狀排列且為嗜鹼性 (Basophilic)。</t>
        </is>
      </c>
      <c r="D4" s="3" t="inlineStr">
        <is>
          <t>Copora amylacea (澱粉樣體) 的數量會隨著年紀增長而逐漸減少。</t>
        </is>
      </c>
      <c r="E4" s="3" t="inlineStr">
        <is>
          <t>Rosenthal fiber (羅森塔爾纖維) 型態粗長且不規則，常見於 Pilocytic astrocytoma 或長期 gliosis 的區域。</t>
        </is>
      </c>
      <c r="F4" s="3" t="inlineStr">
        <is>
          <t>Copora amylacea (澱粉樣體) 是一種主要出現在微小膠細胞 (Microglia) 內的脂質沉積物。</t>
        </is>
      </c>
      <c r="G4" s="3" t="inlineStr">
        <is>
          <t>Rosenthal fiber (羅森塔爾纖維) 主要由葡萄胺聚醣 (Glycosaminoglycan) 組成，且 PAS 染色為陽性。</t>
        </is>
      </c>
      <c r="H4" s="2" t="inlineStr">
        <is>
          <t>C</t>
        </is>
      </c>
      <c r="I4" s="3" t="inlineStr">
        <is>
          <t>選項A敘述錯誤，呈現同心圓層狀排列且為嗜鹼性 (Basophilic) 的是 Copora amylacea (澱粉樣體)。Rosenthal fiber (羅森塔爾纖維) 則是粗長、不規則且為嗜酸性 (Eosinophilic) 的結構。
選項B敘述錯誤，Copora amylacea (澱粉樣體) 是一種與老化相關的退化產物，因此其數量會隨著年齡越大而「越多」，並非減少。
選項C正確，Rosenthal fiber (羅森塔爾纖維) 確實呈現粗、長、不規則的嗜酸性結構，存在於 Astrocyte (星狀細胞) 的 process 中，並常見於 Pilocytic astrocytoma 及長期 gliosis (神經膠樣變性) 區域。
選項D敘述錯誤，Copora amylacea (澱粉樣體) 出現在 Astrocyte (星狀細胞) 的 process 中，成分為多醣體 (主要為葡萄胺聚醣 Glycosaminoglycan)，而非微小膠細胞內的脂質沉積物。
選項E敘述錯誤，此描述實際上是指 Copora amylacea (澱粉樣體) 的生化特徵；Rosenthal fiber (羅森塔爾纖維) 並非主要由葡萄胺聚醣組成且不以 PAS 陽性為主要鑑定特徵。</t>
        </is>
      </c>
      <c r="J4" s="3">
        <f>== 【numbered_0908_Central nervous system(pathology).pdf】第 2 頁 ===</f>
        <v/>
      </c>
    </row>
    <row r="5" ht="54" customHeight="1">
      <c r="A5" s="2" t="n">
        <v>4</v>
      </c>
      <c r="B5" s="3" t="inlineStr">
        <is>
          <t>臨床上觀察到病患腦組織灰質中出現一種細胞核大（約正常2~3倍）、淡染染色質且具有明顯核膜與核仁，並伴隨核內肝醣堆積的細胞。關於此細胞的描述，下列何者正確？</t>
        </is>
      </c>
      <c r="C5" s="3" t="inlineStr">
        <is>
          <t>此細胞被稱為 Alzheimer type II cell (第二型阿茲海默細胞)，是 Alzheimer disease (阿茲海默症) 的專一性致病細胞。</t>
        </is>
      </c>
      <c r="D5" s="3" t="inlineStr">
        <is>
          <t>這種細胞僅出現在白質，且是由 Oligodendrocyte (寡樹突細胞) 受損凋亡所轉化而來。</t>
        </is>
      </c>
      <c r="E5" s="3" t="inlineStr">
        <is>
          <t>此病理變化通常發生於有 Hypoammonemia (低氨血症) 與慢性腎衰竭的病患。</t>
        </is>
      </c>
      <c r="F5" s="3" t="inlineStr">
        <is>
          <t>此細胞被稱為 Alzheimer type II cell (第二型阿茲海默細胞)，常出現在因慢性肝臟疾病引起 Hyperammonemia (高氨血症) 的病患中。</t>
        </is>
      </c>
      <c r="G5" s="3" t="inlineStr">
        <is>
          <t>此細胞的細胞質內會產生大量的 Amyloid precursor protein (類澱粉前體蛋白)，進而引發嚴重的失智症。</t>
        </is>
      </c>
      <c r="H5" s="2" t="inlineStr">
        <is>
          <t>D</t>
        </is>
      </c>
      <c r="I5" s="3" t="inlineStr">
        <is>
          <t>選項A敘述錯誤，此細胞雖然名為 Alzheimer type II cell (第二型阿茲海默細胞)，但它與 Alzheimer disease (阿茲海默症) 完全「無關」，僅是因為由同一位學者 (Alzheimer) 首先描述而得名。
選項B敘述錯誤，Alzheimer type II cell (第二型阿茲海默細胞) 是一種「灰質」中的細胞，且其來源屬於 Astrocyte (星狀細胞) 的病理變化，並非源自 Oligodendrocyte (寡樹突細胞)。
選項C敘述錯誤，該細胞與肝性腦病變 (Hepatic encephalopathy) 或 Wilson's disease 相關，是因為「Hyperammonemia (高氨血症)」而非低氨血症所引起，主要問題出在肝臟代謝或銅代謝，而非單純的腎衰竭。
選項D正確，Alzheimer type II cell (第二型阿茲海默細胞) 具有大細胞核、淡染染色質、核內肝醣堆積等特徵，常見於慢性肝病、肝性腦病變或 Wilson's disease 所引發的 Hyperammonemia (高氨血症) 患者中。
選項E敘述錯誤，類澱粉沉積 (Amyloid deposition) 與 Alzheimer disease 相關，但如前所述，Alzheimer type II cell 本身與阿茲海默症的神經退化及澱粉樣蛋白累積機制並無直接關聯，其主要特徵為「核內」肝醣堆積。</t>
        </is>
      </c>
      <c r="J5" s="3">
        <f>== 【numbered_0908_Central nervous system(pathology).pdf】第 2 頁 ===</f>
        <v/>
      </c>
    </row>
    <row r="6" ht="54" customHeight="1">
      <c r="A6" s="2" t="n">
        <v>5</v>
      </c>
      <c r="B6" s="3" t="inlineStr">
        <is>
          <t>關於 Neural tube defect (神經管缺損, NTD) 造成的各種畸形，下列敘述何者完全正確？</t>
        </is>
      </c>
      <c r="C6" s="3" t="inlineStr">
        <is>
          <t>Anencephaly (無腦症) 屬於最輕微的骨裂開，患者多半無症狀且僅在 X 光檢查時偶然發現。</t>
        </is>
      </c>
      <c r="D6" s="3" t="inlineStr">
        <is>
          <t>Encephalocele (腦膨出) 是指囊腫內僅含有單純的 Meninges (腦脊髓膜)，而無任何中樞神經組織。</t>
        </is>
      </c>
      <c r="E6" s="3" t="inlineStr">
        <is>
          <t>Meningocele (腦脊髓膜膨出) 中的囊狀構造同時包含了神經組織與腦膜，因此臨床神經學症狀極為嚴重。</t>
        </is>
      </c>
      <c r="F6" s="3" t="inlineStr">
        <is>
          <t>Spina bifida occulta (隱性脊柱裂) 好發於 lumbosacral area，並必定伴隨巨大的水囊狀突出 (cystic lesion)。</t>
        </is>
      </c>
      <c r="G6" s="3" t="inlineStr">
        <is>
          <t>Myelomeningocele (脊髓脊膜膨出) 的囊狀突出中同時含有神經組織與腦脊髓膜，且是 VACTERL association 之一。</t>
        </is>
      </c>
      <c r="H6" s="2" t="inlineStr">
        <is>
          <t>E</t>
        </is>
      </c>
      <c r="I6" s="3" t="inlineStr">
        <is>
          <t>選項A敘述錯誤，最輕微、多半無症狀且僅在 X 光檢查時發現的疾病是 Spina bifida occulta (隱性脊柱裂)。Anencephaly (無腦症) 是最嚴重的 NTD，起因於前端發育異常，常導致出生即死亡。
選項B敘述錯誤，Encephalocele (腦膨出) 的囊腫內容物包含了 CSF 及「CNS tissue (中樞神經組織)」。若僅含有腦膜則稱為 Meningocele (腦脊髓膜膨出)。
選項C敘述錯誤，Meningocele (腦脊髓膜膨出) 的 Cystic lesion 中「僅有腦脊髓膜」，未影響到神經組織，因此症狀相對輕微。同時包含神經組織的是 Myelomeningocele (脊髓脊膜膨出)。
選項D敘述錯誤，Spina bifida occulta (隱性脊柱裂) 症狀最輕微，僅有骨頭癒合異常，其特徵是「無」水囊狀構造 (no cystic lesion)。
選項E正確，Myelomeningocele (脊髓脊膜膨出) 的 Cystic lesion 中同時包含神經組織與腦脊髓膜，最易在 lumbosacral area 出現，且屬於先天畸形組合 VACTERL association 之一。</t>
        </is>
      </c>
      <c r="J6" s="3">
        <f>== 【numbered_0908_Central nervous system(pathology).pdf】第 3 頁 ===</f>
        <v/>
      </c>
    </row>
    <row r="7" ht="54" customHeight="1">
      <c r="A7" s="2" t="n">
        <v>6</v>
      </c>
      <c r="B7" s="3" t="inlineStr">
        <is>
          <t>神經細胞在發育與 migration 過程發生異常會導致前腦異常 (Forebrain anomalies)。下列關於各類前腦異常疾病的描述何者正確？</t>
        </is>
      </c>
      <c r="C7" s="3" t="inlineStr">
        <is>
          <t>Holoprosencephaly (前腦無裂畸形) 常伴隨單顆眼睛 (Cyclopia) 的狀況，並與 Trisomy 13 (巴陶氏症) 有高度相關。</t>
        </is>
      </c>
      <c r="D7" s="3" t="inlineStr">
        <is>
          <t>Lissencephaly (平腦症) 是指大腦皮質神經元異位聚集在白質，造成大腦體積過度膨脹，引發嚴重的巨頭症 (Megalencephaly)。</t>
        </is>
      </c>
      <c r="E7" s="3" t="inlineStr">
        <is>
          <t>Agenesis of the corpus callosum (胼胝體發育不全) 是最嚴重的先天性腦缺陷，患者必定伴隨脊髓空洞症 (Syringomyelia)。</t>
        </is>
      </c>
      <c r="F7" s="3" t="inlineStr">
        <is>
          <t>Polymicrogyria (多小腦迴症) 是指小腦的腦迴異常增多，導致小腦平衡功能嚴重喪失。</t>
        </is>
      </c>
      <c r="G7" s="3" t="inlineStr">
        <is>
          <t>Neuronal heterotopia (神經元異位) 主要起因於大腦左右半球分離失敗，常以 Alobar 形式表現。</t>
        </is>
      </c>
      <c r="H7" s="2" t="inlineStr">
        <is>
          <t>A</t>
        </is>
      </c>
      <c r="I7" s="3" t="inlineStr">
        <is>
          <t>選項A正確，Holoprosencephaly (前腦無裂畸形) 是大腦左右半球分離出現問題，常以 Alobar 形式出現，導致 Cyclopia (單顆眼睛)，且最常見的原因為 Trisomy 13 (巴陶氏症)。
選項B敘述錯誤，Lissencephaly (平腦症) 的特徵是腦迴變少或完全沒有腦迴 (Agyria)，致病機轉與細胞 migration 受到干擾或缺乏停止訊號有關。而「神經元聚集在白質」描述的是 Neuronal heterotopia (神經元異位)。
選項C敘述錯誤，Agenesis of the corpus callosum (胼胝體發育不全, ACC) 屬於「輕微」且最常見的先天性腦缺陷之一，與脊髓空洞症無必然關聯，主要與 Fetal alcohol syndrome 相關。
選項D敘述錯誤，Polymicrogyria (多小腦迴症) 影響的是「大腦」皮質 (出現多個異常腦迴且分層減少)，講義中特別強調「跟小腦沒有關係」。
選項E敘述錯誤，大腦左右半球分離失敗並以 Alobar 形式表現的是 Holoprosencephaly (前腦無裂畸形)。Neuronal heterotopia (神經元異位) 是 Progenitor cell migration 聚集在錯誤位置 (如白質)，通常會引發癲癇。</t>
        </is>
      </c>
      <c r="J7" s="3">
        <f>== 【numbered_0908_Central nervous system(pathology).pdf】第 4 頁 ===</f>
        <v/>
      </c>
    </row>
    <row r="8" ht="54" customHeight="1">
      <c r="A8" s="2" t="n">
        <v>7</v>
      </c>
      <c r="B8" s="3" t="inlineStr">
        <is>
          <t>後顱窩異常 (Posterior fossa anomalies) 主要影響腦幹與小腦結構。關於 Arnold-Chiari malformation 與 Dandy-Walker malformation，下列敘述何者正確？</t>
        </is>
      </c>
      <c r="C8" s="3" t="inlineStr">
        <is>
          <t>Arnold-Chiari malformation Type I 極度危險，常伴隨小腦蚓部 (Vermis) 嚴重下移並造成腦幹核發育不良。</t>
        </is>
      </c>
      <c r="D8" s="3" t="inlineStr">
        <is>
          <t>Dandy-Walker malformation (後顱窩過大) 的特徵為小腦蚓部消失或僅剩前側，並在第四腦室形成龐大的 midline cyst。</t>
        </is>
      </c>
      <c r="E8" s="3" t="inlineStr">
        <is>
          <t>Arnold-Chiari malformation Type II 症狀較輕微，僅有小腦扁桃體 (Cerebellar tonsil) 鑽進椎管內，且不會引發水腦。</t>
        </is>
      </c>
      <c r="F8" s="3" t="inlineStr">
        <is>
          <t>Dandy-Walker malformation (後顱窩過大) 主要表現為小腦扁桃體向下擠壓延腦呼吸中樞，造成 Life-threatening 的危險。</t>
        </is>
      </c>
      <c r="G8" s="3" t="inlineStr">
        <is>
          <t>Arnold-Chiari malformation Type I 必定伴隨腰椎脊髓脊膜膨出 (Lumbar myelo-meningocele)。</t>
        </is>
      </c>
      <c r="H8" s="2" t="inlineStr">
        <is>
          <t>B</t>
        </is>
      </c>
      <c r="I8" s="3" t="inlineStr">
        <is>
          <t>選項A敘述錯誤，Arnold-Chiari malformation Type I 症狀「較輕微」，僅小腦扁桃體 (Cerebellar tonsil) 鑽進 vertebral canal。小腦蚓部下移且症狀嚴重的是 Type II。
選項B正確，Dandy-Walker malformation (後顱窩過大) 特徵為小腦蚓部 (Vermis) 消失或僅存前側部分，其餘空間形成龐大且沒有上方覆蓋的 midline cyst (即擴張的第四腦室)，並易有腦幹核發育不良。
選項C敘述錯誤，Arnold-Chiari malformation Type II 症狀「較嚴重」，會有小腦蚓部下移造成 CSF 堆積，且「常伴有水腦 (Hydrocephalus)」與腰椎脊髓脊膜膨出。
選項D敘述錯誤，小腦扁桃向下擠壓延腦 (Foramen magnum) 導致呼吸中樞受壓迫而有生命危險的，屬於腦疝中的 Tonsillar herniation (小腦扁桃腦疝)，並非 Dandy-Walker malformation 的核心特徵。
選項E敘述錯誤，常伴隨腰椎脊髓脊膜膨出 (Lumbar myelo-meningocele) 的是 Arnold-Chiari malformation Type II，而非 Type I。</t>
        </is>
      </c>
      <c r="J8" s="3">
        <f>== 【numbered_0908_Central nervous system(pathology).pdf】第 4 頁 ===</f>
        <v/>
      </c>
    </row>
    <row r="9" ht="54" customHeight="1">
      <c r="A9" s="2" t="n">
        <v>8</v>
      </c>
      <c r="B9" s="3" t="inlineStr">
        <is>
          <t>關於周產期腦部傷害 (Perinatal Brain Injury) 與腦性麻痺 (Cerebral palsy, CP) 的特性，下列敘述何者正確？</t>
        </is>
      </c>
      <c r="C9" s="3" t="inlineStr">
        <is>
          <t>腦性麻痺是小孩神經發育問題的罕見原因，多半在成年後才因外傷誘發。</t>
        </is>
      </c>
      <c r="D9" s="3" t="inlineStr">
        <is>
          <t>腦性麻痺是一種持續惡化 (Progressive) 的疾病，其神經學症狀會因為大腦異常蛋白不斷累積而隨年齡加劇。</t>
        </is>
      </c>
      <c r="E9" s="3" t="inlineStr">
        <is>
          <t>腦性麻痺的運動神經缺失在出生時就已定案而不會持續惡化 (Nonprogressive)，但嬰兒需隨著發育進行複雜運動時，症狀才會逐漸顯現。</t>
        </is>
      </c>
      <c r="F9" s="3" t="inlineStr">
        <is>
          <t>腦性麻痺可以藉由 Thrombolytic therapy (血栓溶解治療) 進行徹底的根除與治癒。</t>
        </is>
      </c>
      <c r="G9" s="3" t="inlineStr">
        <is>
          <t>手足徐動症 (Athetosis) 是指病患在安靜休息時出現不自主顫動，而進行自主動作時則會停止。</t>
        </is>
      </c>
      <c r="H9" s="2" t="inlineStr">
        <is>
          <t>C</t>
        </is>
      </c>
      <c r="I9" s="3" t="inlineStr">
        <is>
          <t>選項A敘述錯誤，周產期腦部傷害是「小孩神經發育問題最常與此相關」的原因，腦性麻痺是兒童期常見的運動障礙，並非成年外傷誘發。
選項B敘述錯誤，腦性麻痺的關鍵特徵是「不會持續惡化 (Nonprogressive)」。腦部受傷的程度在出生時就已經定案，不會因蛋白累積而隨時間惡化。
選項C正確，腦性麻痺是 Nonprogressive (非進行性) 的神經損傷，雖然傷害早已造成定案，但不一定一出生就會被發現，當嬰兒成長需執行更複雜的運動時，動作困難的症狀才會浮現出來。
選項D敘述錯誤，腦性麻痺「無法治療」根除，只能藉由社會復健改善、進步；Thrombolytic therapy (rtPA) 主要是用於急性缺血性中風 (Stroke)。
選項E敘述錯誤，手足徐動症 (Athetosis) 作為腦性麻痺的一種特徵，是當個體「進行自主動作時」，才會出現不自主顫動，並非休息時發作。</t>
        </is>
      </c>
      <c r="J9" s="3">
        <f>== 【numbered_0908_Central nervous system(pathology).pdf】第 5 頁 ===</f>
        <v/>
      </c>
    </row>
    <row r="10" ht="72" customHeight="1">
      <c r="A10" s="2" t="n">
        <v>9</v>
      </c>
      <c r="B10" s="3" t="inlineStr">
        <is>
          <t>導致顱內壓升高 (Increased intracranial pressure, IICP) 的水腦症 (Hydrocephalus) 可分為多種類型。下列敘述何者正確？</t>
        </is>
      </c>
      <c r="C10" s="3" t="inlineStr">
        <is>
          <t>Noncommunicating hydrocephalus (阻塞型水腦症) 是指腦脊髓液路徑並無阻塞，主要由脈絡叢腫瘤過度製造 CSF 引起。</t>
        </is>
      </c>
      <c r="D10" s="3" t="inlineStr">
        <is>
          <t>Communicating hydrocephalus (交通型水腦症) 可在 CT/MRI 影像上明確觀察到第三腦室或導水管狹窄所造成的物理性阻塞部位。</t>
        </is>
      </c>
      <c r="E10" s="3" t="inlineStr">
        <is>
          <t>大腦實質組織因病變萎縮，導致腦室代償性擴張，但 CSF 總量並未異常增多的情況，稱為 Hydrocephalus ex vacuo (補空型水腦症)。</t>
        </is>
      </c>
      <c r="F10" s="3" t="inlineStr">
        <is>
          <t>所有的水腦症皆起源於 CSF 製造過多，與 CSF 吸收不良或流動受阻無關。</t>
        </is>
      </c>
      <c r="G10" s="3" t="inlineStr">
        <is>
          <t>Hydrocephalus ex vacuo (補空型水腦症) 屬於急性致命急症，必須立即進行引流手術以降低暴增的 CSF 壓力。</t>
        </is>
      </c>
      <c r="H10" s="2" t="inlineStr">
        <is>
          <t>C</t>
        </is>
      </c>
      <c r="I10" s="3" t="inlineStr">
        <is>
          <t>選項A敘述錯誤，路徑無明顯阻塞但 CSF 回收異常或製造過多的是 Communicating hydrocephalus (交通型水腦症)。阻塞型 (Noncommunicating) 是明確有第三腦室腫瘤或導水管狹窄導致阻塞。
選項B敘述錯誤，在 CT/MRI 影像上「看不到阻塞點」的才是 Communicating hydrocephalus (交通型水腦症)，因為它是吸收問題或過度製造，影像無法點出單一阻塞狹窄處。看得到阻塞的是阻塞型 (Noncommunicating)。
選項C正確，Hydrocephalus ex vacuo (補空型水腦症) 肇因於腦實質受損萎縮，腦室代償性變大，但實際 CSF 的製造與吸收平衡正常，CSF 並沒有過多。
選項D敘述錯誤，水腦症「多由 CSF 流動或是回收異常導致」，僅有「少部分」是因脈絡叢腫瘤導致 CSF 製造過多引起。
選項E敘述錯誤，補空型水腦症 (Hydrocephalus ex vacuo) 本身 CSF 並沒有過多壓力上升的問題，它是組織萎縮的代償表現，並非因 CSF 暴增造成的急性致命高壓。</t>
        </is>
      </c>
      <c r="J10" s="3">
        <f>== 【numbered_0908_Central nervous system(pathology).pdf】第 5、6 頁 ===</f>
        <v/>
      </c>
    </row>
    <row r="11" ht="72" customHeight="1">
      <c r="A11" s="2" t="n">
        <v>10</v>
      </c>
      <c r="B11" s="3" t="inlineStr">
        <is>
          <t>顱內壓升高 (IICP) 可能導致腦組織產生移位與腦疝 (Brain herniation)。關於各類型腦疝的解剖位置與臨床表現，何者敘述正確？</t>
        </is>
      </c>
      <c r="C11" s="3" t="inlineStr">
        <is>
          <t>Subfalcine herniation (大腦鐮下腦疝) 發生時會直接壓迫延腦，導致呼吸中樞立刻停止而有生命危險。</t>
        </is>
      </c>
      <c r="D11" s="3" t="inlineStr">
        <is>
          <t>Tonsillar herniation (小腦扁桃腦疝) 主要特徵為 Temporal region 向小腦天幕壓迫，導致同側大腦腳受損並引發對側偏癱。</t>
        </is>
      </c>
      <c r="E11" s="3" t="inlineStr">
        <is>
          <t>Central tentorial herniation 會導致小腦蚓部 (Vermis) 向上位移，壓迫 Anterior cerebral artery (ACA) 造成初級視覺皮質缺血。</t>
        </is>
      </c>
      <c r="F11" s="3" t="inlineStr">
        <is>
          <t>Subfalcine herniation (大腦鐮下腦疝) 會不對稱地擴張並壓迫 Posterior cerebral artery (PCA)，引發次發性枕葉 infarction。</t>
        </is>
      </c>
      <c r="G11" s="3" t="inlineStr">
        <is>
          <t>Transtentorial (Uncal) herniation 會壓迫 CN3 導致瞳孔放大，壓迫 PCA 導致視覺皮質缺血，甚至進展引發中腦與橋腦的 Duret hemorrhage。</t>
        </is>
      </c>
      <c r="H11" s="2" t="inlineStr">
        <is>
          <t>E</t>
        </is>
      </c>
      <c r="I11" s="3" t="inlineStr">
        <is>
          <t>選項A敘述錯誤，壓迫延腦呼吸中樞造成立即生命危險的是 Tonsillar herniation (小腦扁桃腦疝)。Subfalcine herniation (大腦鐮下腦疝) 壓迫的是 Anterior cerebral artery (ACA)。
選項B敘述錯誤，Temporal region 內側向小腦天幕壓迫引發同側大腦腳受損的是 Transtentorial (Uncal) herniation，而非小腦扁桃腦疝。
選項C敘述錯誤，壓迫 Anterior cerebral artery (ACA) 的是大腦鐮下腦疝。而壓迫初級視覺皮質血管 (PCA) 的是 Transtentorial (Uncal) herniation。
選項D敘述錯誤，Subfalcine herniation (大腦鐮下腦疝) 壓迫的是 ACA (前大腦動脈)，主要分布兩半球間，並不是壓迫 PCA (後大腦動脈)。
選項E正確，Transtentorial (Uncal) herniation (經小腦天幕腦疝) 由顳葉向內壓迫，會壓迫 CN3 (造成瞳孔放大)、PCA (造成視覺皮質缺血)、同側大腦腳 (對側偏癱)，若惡化還會產生中腦與橋腦次發性出血的 Duret hemorrhage (杜雷氏出血)。</t>
        </is>
      </c>
      <c r="J11" s="3">
        <f>== 【numbered_0908_Central nervous system(pathology).pdf】第 6、7 頁 ===</f>
        <v/>
      </c>
    </row>
    <row r="12" ht="72" customHeight="1">
      <c r="A12" s="2" t="n">
        <v>11</v>
      </c>
      <c r="B12" s="3" t="inlineStr">
        <is>
          <t>在評估外傷性腦部損傷 (Traumatic brain injury) 患者時，急診醫師觀察到病患出現 Raccoon eyes (眼眶血腫) 與 Battle sign (耳後瘀血)，且鼻子流出清澈水狀液體。下列針對此臨床表現的判斷與處置，何者最為正確？</t>
        </is>
      </c>
      <c r="C12" s="3" t="inlineStr">
        <is>
          <t>此症狀高度暗示患者發生了 Basal skull fracture (顱底骨折)，且流出的液體為外溢的 CSF，須給予抗生素以預防上行感染導致腦膜炎。</t>
        </is>
      </c>
      <c r="D12" s="3" t="inlineStr">
        <is>
          <t>這是典型的 Diastatic fracture (舒張性骨折) 表現，破裂位置必定在人字縫 (Lambdoid suture)，液體為純粹的鼻腔分泌物。</t>
        </is>
      </c>
      <c r="E12" s="3" t="inlineStr">
        <is>
          <t>此徵象稱為 Concussion (腦震盪)，影像學上可見大範圍楔形 (wedge-shaped) 組織受損，須立即切除受損腦區。</t>
        </is>
      </c>
      <c r="F12" s="3" t="inlineStr">
        <is>
          <t>這是 Diffuse axonal injury (廣泛性軸突損傷) 的特有病徵，通常發生於來回搖晃嬰兒 (shaken baby syndrome) 數小時後。</t>
        </is>
      </c>
      <c r="G12" s="3" t="inlineStr">
        <is>
          <t>病患流出清澈液體代表血腦障壁 (BBB) 功能完好，僅是周邊微血管破裂，給予支持性療法等待自行吸收即可。</t>
        </is>
      </c>
      <c r="H12" s="2" t="inlineStr">
        <is>
          <t>A</t>
        </is>
      </c>
      <c r="I12" s="3" t="inlineStr">
        <is>
          <t>選項A正確，Raccoon eyes (眼眶血腫)、Battle sign (耳後瘀血，Mastoid hematomas) 以及 CSF rhinorrhea (腦脊髓液鼻漏) 都是 Basal skull fracture (顱底骨折) 的經典表徵。流出的清澈液體是 CSF，極易造成上行感染引發 Meningitis (腦膜炎)，故須給予抗生素治療。
選項B敘述錯誤，Diastatic fracture (舒張性骨折) 屬於較輕微的顱骨骨縫擴大 (常在人字縫)，並非引發上述顱底骨折經典症狀與 CSF 外漏的主因。
選項C敘述錯誤，Concussion (腦震盪) 在影像學上「看不到什麼變化，無腦實質受損」，楔形 (wedge-shaped) 損傷描述的是 Contusion (腦挫傷)。
選項D敘述錯誤，Diffuse axonal injury 發生在嚴重加減速外力下 (如車禍或搖晃嬰兒)，特徵為迅速陷入 coma，並非以眼眶/耳後瘀血及 CSF 外漏為主要外部特徵。
選項E敘述錯誤，流出清澈液體是 CSF 漏，代表腦膜已經破裂通向外界 (如鼻腔/中耳)，此為嚴重急症，需抗生素甚至修補手術，絕非「BBB 完好且僅需支持性療法」。</t>
        </is>
      </c>
      <c r="J12" s="3">
        <f>== 【numbered_0908_Central nervous system(pathology).pdf】第 7、8 頁 ===</f>
        <v/>
      </c>
    </row>
    <row r="13" ht="54" customHeight="1">
      <c r="A13" s="2" t="n">
        <v>12</v>
      </c>
      <c r="B13" s="3" t="inlineStr">
        <is>
          <t>關於頭部外傷引起的腦部血管受損 (Vascular injury) 及其特徵，下列配對敘述何者正確？</t>
        </is>
      </c>
      <c r="C13" s="3" t="inlineStr">
        <is>
          <t>Epidural hematoma (硬膜外血腫) - 多由靜脈損傷引起，血液滲漏緩慢，常與創傷時間有延遲。</t>
        </is>
      </c>
      <c r="D13" s="3" t="inlineStr">
        <is>
          <t>Subdural hematoma (硬膜下血腫) - 多為靜脈損傷引起，慢慢出血導致神經學症狀緩慢形成，常與創傷時間有延遲而引發醫療糾紛。</t>
        </is>
      </c>
      <c r="E13" s="3" t="inlineStr">
        <is>
          <t>Subarachnoid hemorrhage (蜘蛛網膜下腔出血) - 主要因 Middle meningeal artery (中腦膜動脈) 破裂所致，出血常被 dura 限制呈紡錘狀。</t>
        </is>
      </c>
      <c r="F13" s="3" t="inlineStr">
        <is>
          <t>Epidural hematoma (硬膜外血腫) - 在無外傷情況下自發性發生，好發於 40 歲以上的大腦，並伴隨 amyloid 沉積。</t>
        </is>
      </c>
      <c r="G13" s="3" t="inlineStr">
        <is>
          <t>Intraparenchymal hemorrhage (腦實質出血) - 絕不發生於挫傷 (Contusion) 的病人，僅出現於大動脈瘤破裂時。</t>
        </is>
      </c>
      <c r="H13" s="2" t="inlineStr">
        <is>
          <t>B</t>
        </is>
      </c>
      <c r="I13" s="3" t="inlineStr">
        <is>
          <t>選項A敘述錯誤，Epidural hematoma (硬膜外血腫) 是常伴隨顱骨骨折與 Middle meningeal artery (中腦膜動脈) 破裂，出血快速且需立即治療；靜脈損傷且緩慢出血的是 Subdural hematoma (硬膜下血腫)。
選項B正確，Subdural hematoma (硬膜下血腫) 多為靜脈損傷，血液慢慢累積，神經學症狀延遲出現，臨床上容易因未即時察覺而引發醫療糾紛。
選項C敘述錯誤，被 dura 限制呈「紡錘狀」且因中腦膜動脈破裂引起的是 Epidural hematoma (硬膜外血腫)。外傷性 Subarachnoid hemorrhage (蜘蛛網膜下腔出血) 通常與挫傷 (contusion) 相關。
選項D敘述錯誤，無外傷自發性發生且伴隨 amyloid 沉積的是 Cerebral amyloid angiopathy 引起的 Intraparenchymal hemorrhage (腦實質葉狀出血)。
選項E敘述錯誤，外傷性 Intraparenchymal hemorrhage (腦實質出血) 非常常見於 Contusion (腦挫傷)，並非絕不發生。</t>
        </is>
      </c>
      <c r="J13" s="3">
        <f>== 【numbered_0908_Central nervous system(pathology).pdf】第 8 頁 ===</f>
        <v/>
      </c>
    </row>
    <row r="14" ht="54" customHeight="1">
      <c r="A14" s="2" t="n">
        <v>13</v>
      </c>
      <c r="B14" s="3" t="inlineStr">
        <is>
          <t>大腦是一個極度耗氧的器官，當發生全面性大腦缺血 (Global cerebral ischemia) 時，CNS 中不同神經細胞對缺血的敏感度存在差異。下列何種細胞屬於對缺血最為敏感、通常會最早壞死的「天龍人」細胞？</t>
        </is>
      </c>
      <c r="C14" s="3" t="inlineStr">
        <is>
          <t>大腦皮質第一、二層的 Astrocyte (星狀細胞)</t>
        </is>
      </c>
      <c r="D14" s="3" t="inlineStr">
        <is>
          <t>腦幹基底核的 Oligodendrocyte (寡樹突細胞)</t>
        </is>
      </c>
      <c r="E14" s="3" t="inlineStr">
        <is>
          <t>海馬迴 CA1 區的 Pyramidal cell layer (錐體細胞) 以及小腦中的 Purkinje cells (普金吉細胞)</t>
        </is>
      </c>
      <c r="F14" s="3" t="inlineStr">
        <is>
          <t>皮質灰質邊界區的 Microglia (微小膠細胞)</t>
        </is>
      </c>
      <c r="G14" s="3" t="inlineStr">
        <is>
          <t>下視丘神經核中的 Alzheimer type II cell (第二型阿茲海默細胞)</t>
        </is>
      </c>
      <c r="H14" s="2" t="inlineStr">
        <is>
          <t>C</t>
        </is>
      </c>
      <c r="I14" s="3" t="inlineStr">
        <is>
          <t>選項A敘述錯誤，對缺氧最敏感的是特定的神經元，而非神經膠細胞 (如 Astrocyte)。且大腦皮質最敏感的應是第三、五、六層的 Pyramidal neurons。
選項B敘述錯誤，Oligodendrocyte 是負責生成髓鞘的膠質細胞，神經元對缺血的敏感度遠高於它們。
選項C正確，CNS 中對缺血最敏感、最先壞死的神經細胞包括：Hippocampus (海馬迴) area CA1 的 Pyramidal cell layer、小腦中的 Purkinje cells，以及大腦皮質第三、五、六層的 Pyramidal neurons。
選項D敘述錯誤，Microglia 為巨噬細胞，非對缺氧最敏感的神經元。邊界區 (Watershed) 是血管供應末端易梗塞區，而非特指某種高敏感細胞。
選項E敘述錯誤，Alzheimer type II cell 是慢性肝病高氨血症引發的 Astrocyte 病變，無關急性缺血最早壞死的細胞群。</t>
        </is>
      </c>
      <c r="J14" s="3">
        <f>== 【numbered_0908_Central nervous system(pathology).pdf】第 9 頁 ===</f>
        <v/>
      </c>
    </row>
    <row r="15" ht="54" customHeight="1">
      <c r="A15" s="2" t="n">
        <v>14</v>
      </c>
      <c r="B15" s="3" t="inlineStr">
        <is>
          <t>脊髓損傷 (Spinal cord injury) 的神經學症狀會依受傷的節段位置而有極大的差異。若一名病患因從高處跌落，導致 C4 以上的頸椎脊髓完全截斷，該病患最可能面臨下列何種臨床症狀？</t>
        </is>
      </c>
      <c r="C15" s="3" t="inlineStr">
        <is>
          <t>僅有下肢運動問題或癱瘓 (Paraplegia)，上肢功能完全正常且呼吸不受影響。</t>
        </is>
      </c>
      <c r="D15" s="3" t="inlineStr">
        <is>
          <t>四肢癱瘓 (Quadriplegia)，但橫膈膜功能完好，病患可自主呼吸不需依賴呼吸器。</t>
        </is>
      </c>
      <c r="E15" s="3" t="inlineStr">
        <is>
          <t>出現進行性失智與腦室擴張，符合慢性創傷性腦病 (Chronic traumatic encephalopathy, CTE) 的典型表現。</t>
        </is>
      </c>
      <c r="F15" s="3" t="inlineStr">
        <is>
          <t>四肢癱瘓 (Quadriplegia) 並且因 Phrenic nerve (膈神經) 受損導致橫膈膜麻痺，患者失去自主呼吸能力。</t>
        </is>
      </c>
      <c r="G15" s="3" t="inlineStr">
        <is>
          <t>僅產生泌尿生殖系統功能異常，運動功能不受影響。</t>
        </is>
      </c>
      <c r="H15" s="2" t="inlineStr">
        <is>
          <t>D</t>
        </is>
      </c>
      <c r="I15" s="3" t="inlineStr">
        <is>
          <t>選項A敘述錯誤，僅有下肢癱瘓 (Paraplegia) 並包含泌尿生殖出問題，是影響到 Thoracic vertebrae (胸椎) 或以下區域的特徵。
選項B敘述錯誤，若影響到 C5 以下 (如 C6, C7)，確實會造成 Quadriplegia (四肢癱瘓)，但 Phrenic nerve (C3-C5) 大致保留，橫膈膜受影響較小；若在 C4「以上」，橫膈膜必然麻痺。
選項C敘述錯誤，CTE 是因為頭部「反覆腦部創傷 (concussion)」造成大腦皮質 tau 蛋白沉積的病變，與急性頸椎脊髓截斷無關。
選項D正確，影響 C4 以上會造成 Quadriplegia (四肢癱瘓) 加上橫膈膜麻痺。因為支配橫膈膜的 Phrenic nerve (膈神經) 根源於 C3-C5，C4 以上損傷會導致呼吸能力完全受損，須終身依賴呼吸器存活。
選項E敘述錯誤，頸髓高位截斷不可能運動功能不受影響，會造成嚴重的四肢癱瘓。</t>
        </is>
      </c>
      <c r="J15" s="3">
        <f>== 【numbered_0908_Central nervous system(pathology).pdf】第 9 頁 ===</f>
        <v/>
      </c>
    </row>
    <row r="16" ht="72" customHeight="1">
      <c r="A16" s="2" t="n">
        <v>15</v>
      </c>
      <c r="B16" s="3" t="inlineStr">
        <is>
          <t>在局部性大腦缺血 (Focal cerebral ischemia) 的成因中，Embolism (栓塞) 是常見的因素。關於各類栓子的來源與影響，下列敘述何者正確？</t>
        </is>
      </c>
      <c r="C16" s="3" t="inlineStr">
        <is>
          <t>Cardiac mural thrombi (心臟管壁血栓) 主要源自於頸動脈的粥狀硬化斑塊，是造成腦缺血的最罕見原因。</t>
        </is>
      </c>
      <c r="D16" s="3" t="inlineStr">
        <is>
          <t>Paradoxical emboli (矛盾性栓塞) 是指血栓必定源於左心室，透過開放性動脈導管進入肺循環造成肺栓塞，完全不會影響大腦。</t>
        </is>
      </c>
      <c r="E16" s="3" t="inlineStr">
        <is>
          <t>Embolic shower 特徵為大腦單側皮質出現巨大的單一出血性病灶，常因空氣栓塞引起。</t>
        </is>
      </c>
      <c r="F16" s="3" t="inlineStr">
        <is>
          <t>大腦血管本身發生血栓 (Thrombus) 的最常見位置是前大腦動脈 (ACA) 的末端微血管。</t>
        </is>
      </c>
      <c r="G16" s="3" t="inlineStr">
        <is>
          <t>Middle cerebral artery (中大腦動脈) 是因栓塞 (Embolism) 而產生局部大腦缺血最常發生的血管位置。</t>
        </is>
      </c>
      <c r="H16" s="2" t="inlineStr">
        <is>
          <t>E</t>
        </is>
      </c>
      <c r="I16" s="3" t="inlineStr">
        <is>
          <t>選項A敘述錯誤，Cardiac mural thrombi (心臟管壁血栓) 是源自「心臟」(如心肌梗塞、心房顫動)，且是造成栓塞「最常見」的原因。源自頸動脈粥狀硬化斑塊的是 Arterial thrombo-emboli。
選項B敘述錯誤，Paradoxical emboli (矛盾性栓塞) 是指「深層靜脈」的血栓，透過心臟缺陷 (如心房/心室中膈缺損或右至左分流) 由右心跑到左心，進而進入「體循環」攻擊大腦，而非只進入肺循環。
選項C敘述錯誤，Embolic shower 特徵為在「雙側白質有廣泛性的出血病灶」，並非單側巨大病灶。
選項D敘述錯誤，大腦血管本身發生血栓 (Thrombus) 常發生於 Carotid artery 分支處、Middle cerebral artery 源頭與 Basilar artery 終端，而非 ACA 末端。
選項E正確，Middle cerebral artery (中大腦動脈) 是最常發生因栓塞而產生局部大腦缺血的血管標的。</t>
        </is>
      </c>
      <c r="J16" s="3">
        <f>== 【numbered_0908_Central nervous system(pathology).pdf】第 10、11 頁 ===</f>
        <v/>
      </c>
    </row>
    <row r="17" ht="72" customHeight="1">
      <c r="A17" s="2" t="n">
        <v>16</v>
      </c>
      <c r="B17" s="3" t="inlineStr">
        <is>
          <t>當大腦發生非出血型梗塞 (Non-hemorrhagic infarction) 時，其組織病理學特徵會隨時間產生變化。下列不同時間段的病理特徵配對，何者完全正確？</t>
        </is>
      </c>
      <c r="C17" s="3" t="inlineStr">
        <is>
          <t>48小時內：組織變蒼白、腫脹，灰質與白質的界線變得模糊 (indistinct)。</t>
        </is>
      </c>
      <c r="D17" s="3" t="inlineStr">
        <is>
          <t>2-10日：壞死組織被完全吸收，產生充滿液體 (Liquefies) 的空腔 (Cavitation)。</t>
        </is>
      </c>
      <c r="E17" s="3" t="inlineStr">
        <is>
          <t>10日-3週：腦細胞間隙因嚴重水腫而撐大，灰質與白質界線完全消失。</t>
        </is>
      </c>
      <c r="F17" s="3" t="inlineStr">
        <is>
          <t>48小時內：出現大量纖維母細胞分泌膠原蛋白，形成堅硬的疤痕組織包覆梗塞區。</t>
        </is>
      </c>
      <c r="G17" s="3" t="inlineStr">
        <is>
          <t>2-10日：血栓自然溶解導致 Secondary hemorrhagic transformation，組織由蒼白轉為大範圍深紅色出血。</t>
        </is>
      </c>
      <c r="H17" s="2" t="inlineStr">
        <is>
          <t>A</t>
        </is>
      </c>
      <c r="I17" s="3" t="inlineStr">
        <is>
          <t>選項A正確，在梗塞後「48小時內」，組織會變蒼白、軟軟的腫脹 (Swollen)，且灰、白質界線變得模糊 (indistinct)。
選項B敘述錯誤，組織液化 (Liquefies) 產生充滿液體的空腔 (Cavitation) 是發生在「10日-3週」的階段，而非 2-10 日。
選項C敘述錯誤，在「2-10日」時，因水腫消退，灰、白質界線會變得「明確 (distinct)」，細胞排列紊亂。10日-3週是空腔形成期。
選項D敘述錯誤，CNS 的疤痕組織是由 Astrocyte 形成的 Gliosis，而非周邊組織常見的纖維母細胞膠原疤痕，且 48 小時內主要是急性水腫與細胞壞死，不會立刻形成成熟疤痕。
選項E敘述錯誤，2-10日的自然病程是水腫消退、界線明確。Secondary hemorrhagic transformation (出血性轉化) 是因自發或治療(如使用rtPA)使缺血區再次灌流造成，不一定是 2-10 日的固定常規病程變化。</t>
        </is>
      </c>
      <c r="J17" s="3">
        <f>== 【numbered_0908_Central nervous system(pathology).pdf】第 11 頁 ===</f>
        <v/>
      </c>
    </row>
    <row r="18" ht="72" customHeight="1">
      <c r="A18" s="2" t="n">
        <v>17</v>
      </c>
      <c r="B18" s="3" t="inlineStr">
        <is>
          <t>高血壓 (Hypertension) 與動脈異常皆會引發大腦血管疾病。其中 CADASIL 是一種少見但具有遺傳性的中樞神經系統小動脈疾病。下列關於 CADASIL 的敘述，何者正確？</t>
        </is>
      </c>
      <c r="C18" s="3" t="inlineStr">
        <is>
          <t>其致病原因為 APP 基因突變，導致大量類澱粉樣蛋白沉積於血管壁中。</t>
        </is>
      </c>
      <c r="D18" s="3" t="inlineStr">
        <is>
          <t>由 NOTCH3 基因突變造成，使表現在血管壁周圍的 NOTCH3 受體細胞外部分產生錯誤折疊。</t>
        </is>
      </c>
      <c r="E18" s="3" t="inlineStr">
        <is>
          <t>患者通常在 60 歲以上的高齡階段才開始出現明顯的白質變化與嚴重失智症狀。</t>
        </is>
      </c>
      <c r="F18" s="3" t="inlineStr">
        <is>
          <t>主要臨床表現為反覆性的大範圍腦實質大出血 (Massive hemorrhage)，極少發生梗塞 (Infarct)。</t>
        </is>
      </c>
      <c r="G18" s="3" t="inlineStr">
        <is>
          <t>此疾病主要侵犯大動脈 (如頸動脈與中大腦動脈)，造成大動脈血管血栓阻塞。</t>
        </is>
      </c>
      <c r="H18" s="2" t="inlineStr">
        <is>
          <t>B</t>
        </is>
      </c>
      <c r="I18" s="3" t="inlineStr">
        <is>
          <t>選項A敘述錯誤，APP 基因突變與體染色體顯性的 CAA (大腦類澱粉血管病) 或家族性阿茲海默症有關；CADASIL 則是 NOTCH3 基因突變。
選項B正確，CADASIL (體染色體顯性腦動脈症伴有皮質下梗塞和大腦白質腦症) 是由 NOTCH3 基因突變造成，導致 NOTCH3 protein 細胞外部份錯誤折疊，沉積在血管壁。
選項C敘述錯誤，CADASIL 患者通常在「35歲左右 (年輕就有症狀)」就可經由臨床檢查發現大腦白質變化，並非 60 歲以上才出現。
選項D敘述錯誤，CADASIL 的臨床表現是復發性小血管中風 (Recurrent strokes)，且通常是「梗塞 (Infarct)」，出血較少。
選項E敘述錯誤，CADASIL 是一種「中樞神經系統『小』動脈疾病」，而非侵犯大動脈。</t>
        </is>
      </c>
      <c r="J18" s="3">
        <f>== 【numbered_0908_Central nervous system(pathology).pdf】第 12 頁 ===</f>
        <v/>
      </c>
    </row>
    <row r="19" ht="72" customHeight="1">
      <c r="A19" s="2" t="n">
        <v>18</v>
      </c>
      <c r="B19" s="3" t="inlineStr">
        <is>
          <t>自發性顱內出血 (Spontaneous intraparenchymal hemorrhage) 可依據出血位置與致病機轉區分為不同類型。關於神經節周圍出血 (Ganglionic hemorrhage) 與腦葉出血 (Lobar hemorrhage) 的比較，何者正確？</t>
        </is>
      </c>
      <c r="C19" s="3" t="inlineStr">
        <is>
          <t>Ganglionic hemorrhage 的主要致病原因是 Cerebral amyloid angiopathy (CAA)，其澱粉樣肽易沉積於深層大動脈壁。</t>
        </is>
      </c>
      <c r="D19" s="3" t="inlineStr">
        <is>
          <t>Lobar hemorrhage 的最常見風險因子是慢性高血壓 (Hypertension)，常伴隨 Charcot-Bouchard microaneurysms 破裂。</t>
        </is>
      </c>
      <c r="E19" s="3" t="inlineStr">
        <is>
          <t>Arteriovenous malformations (AVM, 動靜脈畸形瘤) 的血管彼此「背對背擴張 (Back to back distended)」，血管間沒有腦實質存在。</t>
        </is>
      </c>
      <c r="F19" s="3" t="inlineStr">
        <is>
          <t>動靜脈畸形瘤 (AVM) 是最常見且會導致出血的血管畸形類型，其異常的動靜脈間常被膠質組織 (Gliotic tissue) 隔開。</t>
        </is>
      </c>
      <c r="G19" s="3" t="inlineStr">
        <is>
          <t>直徑小於 2mm 的 Saccular aneurysms 每年有高達 50% 的破裂風險，是顱內大出血的最主要原因。</t>
        </is>
      </c>
      <c r="H19" s="2" t="inlineStr">
        <is>
          <t>D</t>
        </is>
      </c>
      <c r="I19" s="3" t="inlineStr">
        <is>
          <t>選項A敘述錯誤，被膠質組織 (Gliotic tissue) 分隔的是 AVM (動靜脈畸形瘤)。Cavernous malformations (海綿狀血管瘤) 的血管是背對背擴張，且血管間「通常沒有腦實質」或膠質分隔。
選項B敘述錯誤，好發於 1030 歲男性的是 AVM。Saccular aneurysms (囊狀動脈瘤) 破裂多發生在 50 歲左右，女性較多，破裂時會有「劇烈頭痛 (Thunderclap headache)」。
選項C敘述錯誤，這是 Cavernous malformations (海綿狀血管瘤) 的特徵。AVM 的血管間有 Gliotic tissue 隔開。
選項D正確，Arteriovenous malformations (AVM) 是最常見且會致出血的血管畸形，特徵為不正常的動靜脈被膠質組織 (Gliotic tissue) 分隔開，最常發生在中大腦動脈分支區域。
選項E敘述錯誤，直徑「大於 10mm」的囊狀動脈瘤每年大約才有 50% 的出血風險。動脈瘤以每年 1.3% 的整體速度破裂，愈大顆風險才愈高。</t>
        </is>
      </c>
      <c r="J19" s="3">
        <f>== 【numbered_0908_Central nervous system(pathology).pdf】第 14、15 頁 ===</f>
        <v/>
      </c>
    </row>
    <row r="20" ht="72" customHeight="1">
      <c r="A20" s="2" t="n">
        <v>19</v>
      </c>
      <c r="B20" s="3" t="inlineStr">
        <is>
          <t>不同年齡層好發不同種類的細菌引起急性化膿性細菌性腦膜炎 (Acute pyogenic bacterial meningitis)。下列關於不同族群好發菌種的配對，何者完全正確？</t>
        </is>
      </c>
      <c r="C20" s="3" t="inlineStr">
        <is>
          <t>新生兒：Haemophilus influenzae 與 Streptococcus pneumonia</t>
        </is>
      </c>
      <c r="D20" s="3" t="inlineStr">
        <is>
          <t>青少年與年輕成人：E. coli 與 group B streptococci</t>
        </is>
      </c>
      <c r="E20" s="3" t="inlineStr">
        <is>
          <t>免疫功能低下者：Neisseria meningitidis 與 Listeria monocytogenes</t>
        </is>
      </c>
      <c r="F20" s="3" t="inlineStr">
        <is>
          <t>老年人：Haemophilus influenzae 與 Klebsiella</t>
        </is>
      </c>
      <c r="G20" s="3" t="inlineStr">
        <is>
          <t>新生兒：E. coli 與 group B streptococci</t>
        </is>
      </c>
      <c r="H20" s="2" t="inlineStr">
        <is>
          <t>E</t>
        </is>
      </c>
      <c r="I20" s="3" t="inlineStr">
        <is>
          <t>選項A敘述錯誤，Haemophilus influenzae 曾經是年齡較小的兒童好發的菌種 (現有疫苗降低發生率)，Streptococcus pneumonia 多見於較大兒童、成人與老人。
選項B敘述錯誤，青少年與成人的主要好發菌種是 Neisseria meningitidis 和 Streptococcus pneumonia。E. coli 與 group B strep 是新生兒的菌種。
選項C敘述錯誤，免疫功能低下者容易感染的是 Klebsiella 與 Anaerobic organisms (厭氧菌)。
選項D敘述錯誤，老年人的常見好發菌種是 Listeria monocytogenes 和 Streptococcus pneumonia。
選項E正確，講義明確指出新生兒容易感染 E. coli、group B streptococci 以及 Listeria monocytogenes，此選項配對精確。</t>
        </is>
      </c>
      <c r="J20" s="3">
        <f>== 【numbered_0908_Central nervous system(pathology).pdf】第 15、16 頁 ===</f>
        <v/>
      </c>
    </row>
    <row r="21" ht="72" customHeight="1">
      <c r="A21" s="2" t="n">
        <v>20</v>
      </c>
      <c r="B21" s="3" t="inlineStr">
        <is>
          <t>進行腦脊髓液 (CSF) 採樣分析是診斷中樞神經系統感染的重要依據。關於不同類型腦膜炎或腦內感染的 CSF 變化，下列敘述何者正確？</t>
        </is>
      </c>
      <c r="C21" s="3" t="inlineStr">
        <is>
          <t>急性無菌性腦膜炎 (Acute aseptic meningitis) 的 CSF 分析中，葡萄糖濃度正常，白血球以淋巴球 (Lymphocyte) 上升為主。</t>
        </is>
      </c>
      <c r="D21" s="3" t="inlineStr">
        <is>
          <t>急性化膿性細菌性腦膜炎 (Acute pyogenic meningitis) 的 CSF 分析中，會出現淋巴球大量增加且葡萄糖濃度異常升高。</t>
        </is>
      </c>
      <c r="E21" s="3" t="inlineStr">
        <is>
          <t>腦膿瘍 (Abscess) 患者的 CSF 中，會偵測到極低濃度的葡萄糖，因為細菌在腦脊髓液中大量消耗養分。</t>
        </is>
      </c>
      <c r="F21" s="3" t="inlineStr">
        <is>
          <t>類急性無菌性腦膜炎症狀 (Aseptic meningitis-like conditions) 的 CSF 中，完全不會出現嗜中性球 (Neutrophils)。</t>
        </is>
      </c>
      <c r="G21" s="3" t="inlineStr">
        <is>
          <t>結核性慢性腦膜炎 (Tuberculous meningitis) 的 CSF 蛋白質濃度極低，且葡萄糖濃度必定異常升高。</t>
        </is>
      </c>
      <c r="H21" s="2" t="inlineStr">
        <is>
          <t>A</t>
        </is>
      </c>
      <c r="I21" s="3" t="inlineStr">
        <is>
          <t>選項A正確，急性無菌性腦膜炎 (主要為病毒感染，如腸病毒) 的 CSF 特徵為：壓力上升、淋巴球上升、蛋白質輕度上升、且「葡萄糖濃度正常」。
選項B敘述錯誤，急性化膿性細菌性腦膜炎的 CSF 會出現「嗜中性球 (Neutrophils) 增多」，且因為細菌喜歡消耗糖，所以「葡萄糖濃度下降」。
選項C敘述錯誤，腦膿瘍 (Abscess) 雖然由細菌引起，但因為細菌被限制在腦實質的囊壁內，所以 CSF 採樣時「葡萄糖濃度正常」。
選項D敘述錯誤，由表皮樣囊腫破裂等引起的類急性無菌性腦膜炎症狀，其 CSF 採樣雖然無菌，但會有「嗜中性球增多」及蛋白質增加。
選項E敘述錯誤，結核性慢性腦膜腦炎的 CSF 會表現為白血球增高、蛋白質濃度「異常升高」，而葡萄糖濃度「正常或輕微降低」。</t>
        </is>
      </c>
      <c r="J21" s="3">
        <f>== 【numbered_0908_Central nervous system(pathology).pdf】第 16、17 頁 ===</f>
        <v/>
      </c>
    </row>
    <row r="22" ht="72" customHeight="1">
      <c r="A22" s="2" t="n">
        <v>21</v>
      </c>
      <c r="B22" s="3" t="inlineStr">
        <is>
          <t>腦膿瘍 (Abscess) 是一種嚴重的局部中樞神經系統發炎，常在腦組織周圍形成包裹狀液化壞死。關於其致病途徑與風險因子，下列何者正確？</t>
        </is>
      </c>
      <c r="C22" s="3" t="inlineStr">
        <is>
          <t>腦膿瘍絕對不會經由血行性傳播 (Hematogenous spread) 從肺部或心臟感染擴散至大腦。</t>
        </is>
      </c>
      <c r="D22" s="3" t="inlineStr">
        <is>
          <t>患有先天性心臟病導致血流從右心分流到左心 (Right-to-left shunting) 的孩童，因為血液未經肺循環過濾，感染腦膿瘍的風險大幅提高。</t>
        </is>
      </c>
      <c r="E22" s="3" t="inlineStr">
        <is>
          <t>腦膿瘍的病灶外圍會由 Astrocyte 分泌大量的膠原纖維形成完全密閉的鈣化硬殼。</t>
        </is>
      </c>
      <c r="F22" s="3" t="inlineStr">
        <is>
          <t>牙齒拔除手術後引發的感染，只能透過沿神經逆行 (Retrograde along nerves) 導致腦膿瘍。</t>
        </is>
      </c>
      <c r="G22" s="3" t="inlineStr">
        <is>
          <t>腦膿瘍患者的腦脊髓液中必定會測出大量細菌，因此單靠給予口服抗生素即可迅速治癒，無須手術。</t>
        </is>
      </c>
      <c r="H22" s="2" t="inlineStr">
        <is>
          <t>B</t>
        </is>
      </c>
      <c r="I22" s="3" t="inlineStr">
        <is>
          <t>選項A敘述錯誤，血行性傳播 (Hematogenous spread) 是腦膿瘍重要的感染途徑之一，可由心臟 (如心內膜炎)、肺臟 (如支氣管擴張症) 甚至拔牙後傳播。
選項B正確，先天性心臟病導致血流從右心直接到左心 (Right-to-left shunting)，會使血液中的病原體避開肺循環中巨噬細胞的過濾，直接進入體循環攻擊大腦，是腦膿瘍的重要風險因子。
選項C敘述錯誤，病灶外圍的膠原性囊包裹 (collagenous capsule) 是由「血管壁的纖維母細胞 (fibroblasts)」形成，而非 Astrocyte。Astrocyte 產生的是 Gliosis (神經膠細胞疤痕)，不分泌膠原蛋白。
選項D敘述錯誤，拔牙後的感染通常是經由「血行性傳播 (Hematogenous spread)」抵達大腦，而非沿神經逆行 (狂犬病或皰疹病毒才是沿神經逆行)。
選項E敘述錯誤，腦膿瘍的細菌被限制在囊中，CSF 常測不到細菌 (葡萄糖正常)；且其治療需「手術清創與抗生素並行」才易控制，單用口服抗生素無法穿透厚實的囊壁治癒。</t>
        </is>
      </c>
      <c r="J22" s="3">
        <f>== 【numbered_0908_Central nervous system(pathology).pdf】第 17 頁 ===</f>
        <v/>
      </c>
    </row>
    <row r="23" ht="72" customHeight="1">
      <c r="A23" s="2" t="n">
        <v>22</v>
      </c>
      <c r="B23" s="3" t="inlineStr">
        <is>
          <t>慢性細菌性腦膜腦炎 (Chronic bacterial meningoencephalitis) 在臺灣最常見由 Mycobacterium tuberculosis (結核桿菌) 引起。下列何者為結核性腦膜腦炎的典型特徵？</t>
        </is>
      </c>
      <c r="C23" s="3" t="inlineStr">
        <is>
          <t>主要引起局部大腦皮質表淺的化膿性潰瘍，病患常伴隨發燒與化膿性腦脊髓液流出體外。</t>
        </is>
      </c>
      <c r="D23" s="3" t="inlineStr">
        <is>
          <t>CSF 分析結果顯示蛋白質濃度極低，且葡萄糖濃度完全降至零。</t>
        </is>
      </c>
      <c r="E23" s="3" t="inlineStr">
        <is>
          <t>最常見的形式為瀰漫性腦膜腦炎 (Diffuse meningoencephalitis)，可能引發蜘蛛膜纖維化，進一步造成腦脊髓液回流受阻而導致水腦。</t>
        </is>
      </c>
      <c r="F23" s="3" t="inlineStr">
        <is>
          <t>此疾病引起的免疫反應會完全破壞血腦障壁，因此絕對不需要合併 PCR 檢驗，單看影像學即可確診。</t>
        </is>
      </c>
      <c r="G23" s="3" t="inlineStr">
        <is>
          <t>僅免疫力低下的愛滋病 (AIDS) 患者會感染 Mycobacterium tuberculosis，一般正常人完全免疫。</t>
        </is>
      </c>
      <c r="H23" s="2" t="inlineStr">
        <is>
          <t>C</t>
        </is>
      </c>
      <c r="I23" s="3" t="inlineStr">
        <is>
          <t>選項A敘述錯誤，結核桿菌通常引起的是瀰漫性腦膜腦炎或單一/多個完整圍繞的腦內實質腫塊 (結核瘤)，非表淺化膿性潰瘍外流。
選項B敘述錯誤，TB 引起的 CSF 變化是白血球增高、蛋白質濃度「異常升高」，葡萄糖濃度是「正常或輕微降低」，而非降至零。
選項C正確，TB 最常見的形式為瀰漫性腦膜腦炎 (Diffuse meningoencephalitis)，慢性發炎的後遺症常包括蜘蛛膜纖維化導致水腦 (Hydrocephalus)，以及動脈內膜炎導致梗死。
選項D敘述錯誤，TB 在影像上與腫瘤或其他感染可能相似，尤其 AIDS 患病容易感染 Mycobacterium avium-intracellulare，需利用 PCR 精確鑑別區分病原體，不能單靠影像學確診。
選項E敘述錯誤，結核病在臺灣盛行，各種免疫狀態的個體皆可能感染 Mycobacterium tuberculosis，AIDS 患者是「更容易」感染 M. avium-intracellulare 及 TB，非一般人完全免疫。</t>
        </is>
      </c>
      <c r="J23" s="3">
        <f>== 【numbered_0908_Central nervous system(pathology).pdf】第 17、18 頁 ===</f>
        <v/>
      </c>
    </row>
    <row r="24" ht="72" customHeight="1">
      <c r="A24" s="2" t="n">
        <v>23</v>
      </c>
      <c r="B24" s="3" t="inlineStr">
        <is>
          <t>由 Treponema pallidum 引起的神經性梅毒 (Neurosyphilis) 在未治療的梅毒病患中可能於第三期發生。下列關於各類型神經性梅毒之臨床病理表現，何者敘述正確？</t>
        </is>
      </c>
      <c r="C24" s="3" t="inlineStr">
        <is>
          <t>Meningovascular neurosyphilis 是一種急性化膿性感染，會迅速導致小腦扁桃體腦疝 (Tonsillar herniation)。</t>
        </is>
      </c>
      <c r="D24" s="3" t="inlineStr">
        <is>
          <t>Cerebral gumma (梅毒腫) 的組織學特徵為富含嗜中性球 (Neutrophil) 的急性發炎反應腫塊。</t>
        </is>
      </c>
      <c r="E24" s="3" t="inlineStr">
        <is>
          <t>Paretic neurosyphilis 是因感覺神經背根軸突受損，導致病患產生嚴重的運動共濟失調 (Locomotor ataxia)。</t>
        </is>
      </c>
      <c r="F24" s="3" t="inlineStr">
        <is>
          <t>Tabes dorsalis (脊髓癆) 肇因於感覺神經軸突 (背根) 受損，會造成局部運動共濟失調 (Locomotor ataxia) 及痛覺喪失，易導致關節受傷。</t>
        </is>
      </c>
      <c r="G24" s="3" t="inlineStr">
        <is>
          <t>合併感染 HIV 病毒會使免疫系統過度活化，從而「降低」病患罹患 Neurosyphilis 的風險。</t>
        </is>
      </c>
      <c r="H24" s="2" t="inlineStr">
        <is>
          <t>D</t>
        </is>
      </c>
      <c r="I24" s="3" t="inlineStr">
        <is>
          <t>選項A敘述錯誤，Meningovascular neurosyphilis 影響腦部底部、大腦兩側等，屬於「慢性腦膜炎」，且常伴隨閉塞性動脈內膜炎，非急性化膿引發腦疝。
選項B敘述錯誤，Cerebral gumma (梅毒腫) 是「富含漿細胞 (Plasma cells)」的腫塊病灶，而非嗜中性球 (屬於急性發炎)。
選項C敘述錯誤，Paretic neurosyphilis 是因 T. pallidum 引起「大腦皮質實質」受損，導致漸進式認知缺陷至嚴重失智 (Dementia)。因感覺神經受損導致共濟失調的是 Tabes dorsalis。
選項D正確，Tabes dorsalis (脊髓癆) 的病因是背根感覺神經軸突受損，臨床症狀包括本體感覺喪失導致的局部運動共濟失調 (Locomotor ataxia) 以及痛覺喪失，進而容易不自覺地使皮膚或關節受傷 (Charcot joint)。
選項E敘述錯誤，梅毒合併 HIV 感染會導致免疫力低下，反而會「增加」引發 Neurosyphilis 的風險。</t>
        </is>
      </c>
      <c r="J24" s="3">
        <f>== 【numbered_0908_Central nervous system(pathology).pdf】第 18 頁 ===</f>
        <v/>
      </c>
    </row>
    <row r="25" ht="54" customHeight="1">
      <c r="A25" s="2" t="n">
        <v>24</v>
      </c>
      <c r="B25" s="3" t="inlineStr">
        <is>
          <t>顱內壓升高 (IICP) 的常見原因之一為大腦水腫 (Cerebral parenchymal edema)。關於血管性水腫 (Vasogenic edema) 與細胞性水腫 (Cytotoxic edema) 的差異，何者敘述正確？</t>
        </is>
      </c>
      <c r="C25" s="3" t="inlineStr">
        <is>
          <t>Vasogenic edema 是因為鈉鉀幫浦 (Na+-K+ pump) 失去功能，使細胞無法維持正常離子濃度而引發。</t>
        </is>
      </c>
      <c r="D25" s="3" t="inlineStr">
        <is>
          <t>Cytotoxic edema 會導致內皮細胞間的緊密連接 (Tight junction) 被破壞，導致血管內液體大量滲出至細胞周圍間隙。</t>
        </is>
      </c>
      <c r="E25" s="3" t="inlineStr">
        <is>
          <t>Interstitial edema (間質水腫) 屬於細胞內積水，是由於細胞膜嚴重受損所主導發生的病理變化。</t>
        </is>
      </c>
      <c r="F25" s="3" t="inlineStr">
        <is>
          <t>Cytotoxic edema 主要影響細胞外間隙，猶如「教室裡面淹水」；而 Vasogenic edema 是單一細胞脹大。</t>
        </is>
      </c>
      <c r="G25" s="3" t="inlineStr">
        <is>
          <t>Vasogenic edema 是因血管內皮的 Tight junction 被破壞，血腦障壁 (BBB) 失去功能，使血管內液體滲出至腦細胞間隙 (細胞周圍積水)。</t>
        </is>
      </c>
      <c r="H25" s="2" t="inlineStr">
        <is>
          <t>E</t>
        </is>
      </c>
      <c r="I25" s="3" t="inlineStr">
        <is>
          <t>選項A敘述錯誤，因鈉鉀幫浦失去功能導致無法維持離子濃度的是 Cytotoxic edema (細胞性水腫)。
選項B敘述錯誤，內皮細胞間緊密連接被破壞、液體滲漏的是 Vasogenic edema (血管性水腫)。Cytotoxic edema 是神經細胞、膠質細胞或內皮細胞本身受損造成的「細胞內」積水。
選項C敘述錯誤，Interstitial edema (間質水腫) 是與水腦症相關，水分在腦室周圍 (paraventricular area) 被動累積，並非細胞膜受損引起的細胞內積水。
選項D敘述錯誤，講師比喻「教室裡面淹水 (即細胞外充滿水分)」的是 Vasogenic edema (血管性水腫)。細胞內積水、細胞脹大的是 Cytotoxic edema (細胞性水腫)。
選項E正確，Vasogenic edema (血管性水腫) 的機轉正是內皮細胞間 tight junction 被破壞，BBB 失能使血管液體滲入組織間隙，形成細胞周圍積水。</t>
        </is>
      </c>
      <c r="J25" s="3">
        <f>== 【numbered_0908_Central nervous system(pathology).pdf】第 5 頁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2026-07-28T15:14:29Z</dcterms:created>
  <dcterms:modified xmlns:dcterms="http://purl.org/dc/terms/" xmlns:xsi="http://www.w3.org/2001/XMLSchema-instance" xsi:type="dcterms:W3CDTF">2026-07-28T15:14:29Z</dcterms:modified>
</cp:coreProperties>
</file>